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Override PartName="/xl/worksheets/sheet9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vbaProject.bin" ContentType="application/vnd.ms-office.vbaProject"/>
  <Default Extension="rels" ContentType="application/vnd.openxmlformats-package.relationships+xml"/>
  <Default Extension="wmf" ContentType="image/x-wmf"/>
  <Default Extension="xml" ContentType="application/xml"/>
  <Override PartName="/xl/workbook.xml" ContentType="application/vnd.ms-excel.sheet.macroEnabled.main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10.xml" ContentType="application/vnd.openxmlformats-officedocument.spreadsheetml.worksheet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drawings/drawing1.xml" ContentType="application/vnd.openxmlformats-officedocument.drawing+xml"/>
  <Override PartName="/xl/worksheets/sheet1.xml" ContentType="application/vnd.openxmlformats-officedocument.spreadsheetml.worksheet+xml"/>
  <Override PartName="/xl/externalLinks/externalLink1.xml" ContentType="application/vnd.openxmlformats-officedocument.spreadsheetml.externalLink+xml"/>
  <Default Extension="vml" ContentType="application/vnd.openxmlformats-officedocument.vmlDrawing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wmf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5" codeName="{37E998C4-C9E5-D4B9-71C8-EB1FF731991C}"/>
  <workbookPr codeName="ThisWorkbook" defaultThemeVersion="124226"/>
  <bookViews>
    <workbookView xWindow="490290" yWindow="482565" windowWidth="10230" windowHeight="3555" tabRatio="693" activeTab="3"/>
  </bookViews>
  <sheets>
    <sheet name="佣金" sheetId="39" r:id="rId1"/>
    <sheet name="港使费" sheetId="2" r:id="rId2"/>
    <sheet name="港口码头对应表" sheetId="37" r:id="rId3"/>
    <sheet name="Sheet2" sheetId="3" r:id="rId4"/>
    <sheet name="船位数据" sheetId="10" r:id="rId5"/>
    <sheet name="Sheet1" sheetId="21" r:id="rId6"/>
    <sheet name="ps用txt" sheetId="36" r:id="rId7"/>
    <sheet name="研究航次报表的时间列" sheetId="38" r:id="rId8"/>
    <sheet name="Sheet3" sheetId="40" r:id="rId9"/>
    <sheet name="Sheet4" sheetId="41" r:id="rId10"/>
    <sheet name="主机转速" sheetId="42" r:id="rId11"/>
    <sheet name="大家庭动态信息源" sheetId="43" r:id="rId12"/>
    <sheet name="Sheet7" sheetId="44" r:id="rId13"/>
    <sheet name="Sheet5" sheetId="45" r:id="rId14"/>
  </sheets>
  <functionGroups/>
  <externalReferences>
    <externalReference r:id="rId15"/>
  </externalReferences>
  <definedNames>
    <definedName name="_xlnm._FilterDatabase" localSheetId="2" hidden="1">港口码头对应表!$A$1:$H$386</definedName>
    <definedName name="_xlnm._FilterDatabase" localSheetId="1" hidden="1">港使费!$A$3:$F$63</definedName>
    <definedName name="RAT">[1]IB打分表!$AB$3:$AB$7</definedName>
    <definedName name="rate">#REF!</definedName>
    <definedName name="计算公式">EVALUATE(研究航次报表的时间列!$A:$A)</definedName>
  </definedNames>
  <calcPr calcId="124519"/>
</workbook>
</file>

<file path=xl/calcChain.xml><?xml version="1.0" encoding="utf-8"?>
<calcChain xmlns="http://schemas.openxmlformats.org/spreadsheetml/2006/main">
  <c r="K23" i="10"/>
  <c r="B19" i="37" l="1"/>
  <c r="B18"/>
  <c r="G9" i="45" l="1"/>
  <c r="G8"/>
  <c r="B8"/>
  <c r="G7"/>
  <c r="G6"/>
  <c r="D6" l="1"/>
  <c r="D7"/>
  <c r="B10" s="1"/>
  <c r="G21" i="37"/>
  <c r="G19"/>
  <c r="G20"/>
  <c r="G18"/>
  <c r="B20"/>
  <c r="B9" i="45" l="1"/>
  <c r="D19" i="37"/>
  <c r="B22" s="1"/>
  <c r="D18"/>
  <c r="B21" s="1"/>
  <c r="E19" i="3"/>
  <c r="B24" i="37" l="1"/>
  <c r="C32" i="3"/>
  <c r="D31"/>
  <c r="D30"/>
  <c r="D29"/>
  <c r="C28"/>
  <c r="C27"/>
  <c r="C26"/>
  <c r="D32" l="1"/>
  <c r="E34"/>
  <c r="D2" i="41"/>
  <c r="E2"/>
  <c r="D3"/>
  <c r="E3"/>
  <c r="D4"/>
  <c r="E4"/>
  <c r="D5"/>
  <c r="E5"/>
  <c r="D6"/>
  <c r="E6"/>
  <c r="D7"/>
  <c r="E7"/>
  <c r="E1"/>
  <c r="D1"/>
  <c r="H25" i="3" l="1"/>
  <c r="I25" s="1"/>
  <c r="K25" s="1"/>
  <c r="H24"/>
  <c r="I24" s="1"/>
  <c r="K24" s="1"/>
  <c r="H23"/>
  <c r="I23" s="1"/>
  <c r="K23" s="1"/>
  <c r="K24" i="10" l="1"/>
  <c r="K25"/>
  <c r="K26"/>
  <c r="K27"/>
  <c r="K28"/>
  <c r="S13" i="40"/>
  <c r="R13"/>
  <c r="Q13"/>
  <c r="P13"/>
  <c r="O13"/>
  <c r="N13"/>
  <c r="M13"/>
  <c r="S12"/>
  <c r="R12"/>
  <c r="Q12"/>
  <c r="P12"/>
  <c r="O12"/>
  <c r="N12"/>
  <c r="M12"/>
  <c r="S11"/>
  <c r="R11"/>
  <c r="Q11"/>
  <c r="P11"/>
  <c r="O11"/>
  <c r="N11"/>
  <c r="M11"/>
  <c r="S10"/>
  <c r="R10"/>
  <c r="Q10"/>
  <c r="P10"/>
  <c r="O10"/>
  <c r="N10"/>
  <c r="M10"/>
  <c r="S9"/>
  <c r="R9"/>
  <c r="Q9"/>
  <c r="P9"/>
  <c r="O9"/>
  <c r="N9"/>
  <c r="M9"/>
  <c r="S8"/>
  <c r="R8"/>
  <c r="Q8"/>
  <c r="P8"/>
  <c r="O8"/>
  <c r="N8"/>
  <c r="M8"/>
  <c r="S7"/>
  <c r="R7"/>
  <c r="Q7"/>
  <c r="P7"/>
  <c r="O7"/>
  <c r="N7"/>
  <c r="M7"/>
  <c r="S6"/>
  <c r="R6"/>
  <c r="Q6"/>
  <c r="P6"/>
  <c r="O6"/>
  <c r="N6"/>
  <c r="M6"/>
  <c r="S5"/>
  <c r="R5"/>
  <c r="Q5"/>
  <c r="P5"/>
  <c r="O5"/>
  <c r="N5"/>
  <c r="M5"/>
  <c r="S4"/>
  <c r="R4"/>
  <c r="Q4"/>
  <c r="P4"/>
  <c r="O4"/>
  <c r="N4"/>
  <c r="M4"/>
  <c r="S3"/>
  <c r="R3"/>
  <c r="Q3"/>
  <c r="P3"/>
  <c r="O3"/>
  <c r="N3"/>
  <c r="M3"/>
  <c r="P7" i="38"/>
  <c r="Q7" s="1"/>
  <c r="L7"/>
  <c r="M7" s="1"/>
  <c r="I7"/>
  <c r="P6"/>
  <c r="Q6" s="1"/>
  <c r="L6"/>
  <c r="I6"/>
  <c r="P5"/>
  <c r="Q5" s="1"/>
  <c r="L5"/>
  <c r="M5" s="1"/>
  <c r="I5"/>
  <c r="P4"/>
  <c r="Q4" s="1"/>
  <c r="L4"/>
  <c r="M4" s="1"/>
  <c r="I4"/>
  <c r="P3"/>
  <c r="Q3" s="1"/>
  <c r="L3"/>
  <c r="M3" s="1"/>
  <c r="I3"/>
  <c r="P2"/>
  <c r="Q2" s="1"/>
  <c r="L2"/>
  <c r="M2" s="1"/>
  <c r="M6" s="1"/>
  <c r="I2"/>
  <c r="K42" i="10"/>
  <c r="K41"/>
  <c r="K40"/>
  <c r="K39"/>
  <c r="K38"/>
  <c r="K37"/>
  <c r="K36"/>
  <c r="K35"/>
  <c r="K34"/>
  <c r="K33"/>
  <c r="K32"/>
  <c r="K31"/>
  <c r="K30"/>
  <c r="K29"/>
  <c r="E7" i="3"/>
  <c r="D5"/>
  <c r="D4"/>
  <c r="E4" s="1"/>
  <c r="E6" s="1"/>
  <c r="J243" i="39"/>
  <c r="M243" s="1"/>
  <c r="J242"/>
  <c r="M242" s="1"/>
  <c r="J241"/>
  <c r="M241" s="1"/>
  <c r="J240"/>
  <c r="M240" s="1"/>
  <c r="J239"/>
  <c r="M239" s="1"/>
  <c r="J238"/>
  <c r="M238" s="1"/>
  <c r="J237"/>
  <c r="M237" s="1"/>
  <c r="J236"/>
  <c r="M236" s="1"/>
  <c r="J235"/>
  <c r="M235" s="1"/>
  <c r="J234"/>
  <c r="M234" s="1"/>
  <c r="J233"/>
  <c r="M233" s="1"/>
  <c r="J232"/>
  <c r="M232" s="1"/>
  <c r="J231"/>
  <c r="M231" s="1"/>
  <c r="J230"/>
  <c r="M230" s="1"/>
  <c r="J229"/>
  <c r="M229" s="1"/>
  <c r="J228"/>
  <c r="M228" s="1"/>
  <c r="J227"/>
  <c r="M227" s="1"/>
  <c r="J226"/>
  <c r="M226" s="1"/>
  <c r="J225"/>
  <c r="M225" s="1"/>
  <c r="J224"/>
  <c r="M224" s="1"/>
  <c r="J223"/>
  <c r="M223" s="1"/>
  <c r="J222"/>
  <c r="M222" s="1"/>
  <c r="J221"/>
  <c r="M221" s="1"/>
  <c r="J220"/>
  <c r="M220" s="1"/>
  <c r="J219"/>
  <c r="M219" s="1"/>
  <c r="J218"/>
  <c r="M218" s="1"/>
  <c r="J217"/>
  <c r="M217" s="1"/>
  <c r="J216"/>
  <c r="M216" s="1"/>
  <c r="J215"/>
  <c r="M215" s="1"/>
  <c r="J214"/>
  <c r="M214" s="1"/>
  <c r="J213"/>
  <c r="M213" s="1"/>
  <c r="J212"/>
  <c r="M212" s="1"/>
  <c r="J211"/>
  <c r="M211" s="1"/>
  <c r="J210"/>
  <c r="M210" s="1"/>
  <c r="J209"/>
  <c r="M209" s="1"/>
  <c r="J208"/>
  <c r="M208" s="1"/>
  <c r="J207"/>
  <c r="M207" s="1"/>
  <c r="J206"/>
  <c r="M206" s="1"/>
  <c r="J205"/>
  <c r="M205" s="1"/>
  <c r="J204"/>
  <c r="M204" s="1"/>
  <c r="J203"/>
  <c r="M203" s="1"/>
  <c r="J202"/>
  <c r="M202" s="1"/>
  <c r="J201"/>
  <c r="M201" s="1"/>
  <c r="J200"/>
  <c r="M200" s="1"/>
  <c r="J199"/>
  <c r="M199" s="1"/>
  <c r="J198"/>
  <c r="M198" s="1"/>
  <c r="J197"/>
  <c r="M197" s="1"/>
  <c r="J196"/>
  <c r="M196" s="1"/>
  <c r="J195"/>
  <c r="M195" s="1"/>
  <c r="J194"/>
  <c r="M194" s="1"/>
  <c r="J193"/>
  <c r="M193" s="1"/>
  <c r="J192"/>
  <c r="M192" s="1"/>
  <c r="J191"/>
  <c r="M191" s="1"/>
  <c r="J190"/>
  <c r="M190" s="1"/>
  <c r="J189"/>
  <c r="M189" s="1"/>
  <c r="J188"/>
  <c r="M188" s="1"/>
  <c r="J187"/>
  <c r="M187" s="1"/>
  <c r="J186"/>
  <c r="M186" s="1"/>
  <c r="J185"/>
  <c r="M185" s="1"/>
  <c r="J184"/>
  <c r="M184" s="1"/>
  <c r="J183"/>
  <c r="M183" s="1"/>
  <c r="J182"/>
  <c r="M182" s="1"/>
  <c r="J181"/>
  <c r="M181" s="1"/>
  <c r="J180"/>
  <c r="M180" s="1"/>
  <c r="J179"/>
  <c r="M179" s="1"/>
  <c r="J178"/>
  <c r="M178" s="1"/>
  <c r="J177"/>
  <c r="M177" s="1"/>
  <c r="J176"/>
  <c r="M176" s="1"/>
  <c r="J175"/>
  <c r="M175" s="1"/>
  <c r="J174"/>
  <c r="M174" s="1"/>
  <c r="J173"/>
  <c r="M173" s="1"/>
  <c r="J172"/>
  <c r="M172" s="1"/>
  <c r="J171"/>
  <c r="M171" s="1"/>
  <c r="J170"/>
  <c r="M170" s="1"/>
  <c r="J169"/>
  <c r="M169" s="1"/>
  <c r="J168"/>
  <c r="M168" s="1"/>
  <c r="J167"/>
  <c r="M167" s="1"/>
  <c r="J166"/>
  <c r="M166" s="1"/>
  <c r="J165"/>
  <c r="M165" s="1"/>
  <c r="J164"/>
  <c r="M164" s="1"/>
  <c r="J163"/>
  <c r="M163" s="1"/>
  <c r="J162"/>
  <c r="M162" s="1"/>
  <c r="J161"/>
  <c r="M161" s="1"/>
  <c r="J160"/>
  <c r="M160" s="1"/>
  <c r="J159"/>
  <c r="M159" s="1"/>
  <c r="J158"/>
  <c r="M158" s="1"/>
  <c r="J157"/>
  <c r="M157" s="1"/>
  <c r="J156"/>
  <c r="M156" s="1"/>
  <c r="J155"/>
  <c r="M155" s="1"/>
  <c r="J154"/>
  <c r="M154" s="1"/>
  <c r="J153"/>
  <c r="M153" s="1"/>
  <c r="J152"/>
  <c r="M152" s="1"/>
  <c r="J151"/>
  <c r="M151" s="1"/>
  <c r="J150"/>
  <c r="M150" s="1"/>
  <c r="J149"/>
  <c r="M149" s="1"/>
  <c r="J148"/>
  <c r="M148" s="1"/>
  <c r="J147"/>
  <c r="M147" s="1"/>
  <c r="J146"/>
  <c r="M146" s="1"/>
  <c r="J145"/>
  <c r="M145" s="1"/>
  <c r="J144"/>
  <c r="M144" s="1"/>
  <c r="J143"/>
  <c r="M143" s="1"/>
  <c r="J142"/>
  <c r="M142" s="1"/>
  <c r="J141"/>
  <c r="M141" s="1"/>
  <c r="J140"/>
  <c r="M140" s="1"/>
  <c r="J139"/>
  <c r="M139" s="1"/>
  <c r="J138"/>
  <c r="M138" s="1"/>
  <c r="J137"/>
  <c r="M137" s="1"/>
  <c r="J136"/>
  <c r="M136" s="1"/>
  <c r="J135"/>
  <c r="M135" s="1"/>
  <c r="J134"/>
  <c r="M134" s="1"/>
  <c r="J133"/>
  <c r="M133" s="1"/>
  <c r="J132"/>
  <c r="M132" s="1"/>
  <c r="J131"/>
  <c r="M131" s="1"/>
  <c r="J130"/>
  <c r="M130" s="1"/>
  <c r="J129"/>
  <c r="M129" s="1"/>
  <c r="J128"/>
  <c r="M128" s="1"/>
  <c r="J127"/>
  <c r="M127" s="1"/>
  <c r="J126"/>
  <c r="M126" s="1"/>
  <c r="J125"/>
  <c r="M125" s="1"/>
  <c r="J124"/>
  <c r="M124" s="1"/>
  <c r="J123"/>
  <c r="M123" s="1"/>
  <c r="J122"/>
  <c r="M122" s="1"/>
  <c r="J121"/>
  <c r="M121" s="1"/>
  <c r="J120"/>
  <c r="M120" s="1"/>
  <c r="J119"/>
  <c r="M119" s="1"/>
  <c r="J118"/>
  <c r="M118" s="1"/>
  <c r="J117"/>
  <c r="M117" s="1"/>
  <c r="J116"/>
  <c r="M116" s="1"/>
  <c r="J115"/>
  <c r="M115" s="1"/>
  <c r="J114"/>
  <c r="M114" s="1"/>
  <c r="J113"/>
  <c r="M113" s="1"/>
  <c r="J112"/>
  <c r="M112" s="1"/>
  <c r="J111"/>
  <c r="M111" s="1"/>
  <c r="J110"/>
  <c r="M110" s="1"/>
  <c r="J109"/>
  <c r="M109" s="1"/>
  <c r="J108"/>
  <c r="M108" s="1"/>
  <c r="J107"/>
  <c r="M107" s="1"/>
  <c r="J106"/>
  <c r="M106" s="1"/>
  <c r="J105"/>
  <c r="M105" s="1"/>
  <c r="J104"/>
  <c r="M104" s="1"/>
  <c r="J103"/>
  <c r="M103" s="1"/>
  <c r="J102"/>
  <c r="M102" s="1"/>
  <c r="J101"/>
  <c r="M101" s="1"/>
  <c r="J100"/>
  <c r="M100" s="1"/>
  <c r="J99"/>
  <c r="M99" s="1"/>
  <c r="J98"/>
  <c r="M98" s="1"/>
  <c r="J97"/>
  <c r="M97" s="1"/>
  <c r="J96"/>
  <c r="M96" s="1"/>
  <c r="J95"/>
  <c r="M95" s="1"/>
  <c r="J94"/>
  <c r="M94" s="1"/>
  <c r="J93"/>
  <c r="M93" s="1"/>
  <c r="J92"/>
  <c r="M92" s="1"/>
  <c r="J91"/>
  <c r="M91" s="1"/>
  <c r="J90"/>
  <c r="M90" s="1"/>
  <c r="J89"/>
  <c r="M89" s="1"/>
  <c r="J88"/>
  <c r="M88" s="1"/>
  <c r="J87"/>
  <c r="M87" s="1"/>
  <c r="J86"/>
  <c r="M86" s="1"/>
  <c r="J85"/>
  <c r="M85" s="1"/>
  <c r="J84"/>
  <c r="M84" s="1"/>
  <c r="J83"/>
  <c r="M83" s="1"/>
  <c r="J82"/>
  <c r="M82" s="1"/>
  <c r="J81"/>
  <c r="M81" s="1"/>
  <c r="J80"/>
  <c r="M80" s="1"/>
  <c r="J79"/>
  <c r="M79" s="1"/>
  <c r="J78"/>
  <c r="M78" s="1"/>
  <c r="J77"/>
  <c r="M77" s="1"/>
  <c r="J76"/>
  <c r="M76" s="1"/>
  <c r="J75"/>
  <c r="M75" s="1"/>
  <c r="J74"/>
  <c r="M74" s="1"/>
  <c r="J73"/>
  <c r="M73" s="1"/>
  <c r="J72"/>
  <c r="M72" s="1"/>
  <c r="J71"/>
  <c r="M71" s="1"/>
  <c r="J70"/>
  <c r="M70" s="1"/>
  <c r="J69"/>
  <c r="M69" s="1"/>
  <c r="J68"/>
  <c r="M68" s="1"/>
  <c r="J67"/>
  <c r="M67" s="1"/>
  <c r="J66"/>
  <c r="M66" s="1"/>
  <c r="J65"/>
  <c r="M65" s="1"/>
  <c r="J64"/>
  <c r="M64" s="1"/>
  <c r="J63"/>
  <c r="M63" s="1"/>
  <c r="J62"/>
  <c r="M62" s="1"/>
  <c r="J61"/>
  <c r="M61" s="1"/>
  <c r="J60"/>
  <c r="M60" s="1"/>
  <c r="J59"/>
  <c r="M59" s="1"/>
  <c r="J58"/>
  <c r="M58" s="1"/>
  <c r="J57"/>
  <c r="M57" s="1"/>
  <c r="J56"/>
  <c r="M56" s="1"/>
  <c r="J55"/>
  <c r="M55" s="1"/>
  <c r="J54"/>
  <c r="M54" s="1"/>
  <c r="J53"/>
  <c r="M53" s="1"/>
  <c r="J52"/>
  <c r="M52" s="1"/>
  <c r="J51"/>
  <c r="M51" s="1"/>
  <c r="J50"/>
  <c r="M50" s="1"/>
  <c r="J49"/>
  <c r="M49" s="1"/>
  <c r="J48"/>
  <c r="M48" s="1"/>
  <c r="J47"/>
  <c r="M47" s="1"/>
  <c r="J46"/>
  <c r="M46" s="1"/>
  <c r="J45"/>
  <c r="M45" s="1"/>
  <c r="J44"/>
  <c r="M44" s="1"/>
  <c r="J43"/>
  <c r="M43" s="1"/>
  <c r="J42"/>
  <c r="M42" s="1"/>
  <c r="J41"/>
  <c r="M41" s="1"/>
  <c r="J40"/>
  <c r="M40" s="1"/>
  <c r="J39"/>
  <c r="M39" s="1"/>
  <c r="J38"/>
  <c r="M38" s="1"/>
  <c r="J37"/>
  <c r="M37" s="1"/>
  <c r="J36"/>
  <c r="M36" s="1"/>
  <c r="J35"/>
  <c r="M35" s="1"/>
  <c r="J34"/>
  <c r="M34" s="1"/>
  <c r="J33"/>
  <c r="M33" s="1"/>
  <c r="J32"/>
  <c r="M32" s="1"/>
  <c r="J31"/>
  <c r="M31" s="1"/>
  <c r="J30"/>
  <c r="M30" s="1"/>
  <c r="J29"/>
  <c r="M29" s="1"/>
  <c r="J28"/>
  <c r="M28" s="1"/>
  <c r="J27"/>
  <c r="M27" s="1"/>
  <c r="J26"/>
  <c r="M26" s="1"/>
  <c r="J25"/>
  <c r="M25" s="1"/>
  <c r="J24"/>
  <c r="M24" s="1"/>
  <c r="J23"/>
  <c r="M23" s="1"/>
  <c r="J22"/>
  <c r="M22" s="1"/>
  <c r="M21"/>
  <c r="M20"/>
  <c r="M19"/>
  <c r="M18"/>
  <c r="M17"/>
  <c r="M16"/>
  <c r="J15"/>
  <c r="M15" s="1"/>
  <c r="J14"/>
  <c r="M14" s="1"/>
  <c r="J13"/>
  <c r="M13" s="1"/>
  <c r="M12"/>
  <c r="J11"/>
  <c r="J10"/>
  <c r="M10" s="1"/>
  <c r="M9"/>
  <c r="J8"/>
  <c r="M8" s="1"/>
  <c r="J7"/>
  <c r="M7" s="1"/>
  <c r="J6"/>
  <c r="M6" s="1"/>
  <c r="J5"/>
  <c r="M5" s="1"/>
  <c r="J4"/>
  <c r="M4" s="1"/>
  <c r="J3"/>
  <c r="M3" s="1"/>
  <c r="J2"/>
  <c r="M2" s="1"/>
  <c r="D6" i="3" l="1"/>
</calcChain>
</file>

<file path=xl/comments1.xml><?xml version="1.0" encoding="utf-8"?>
<comments xmlns="http://schemas.openxmlformats.org/spreadsheetml/2006/main">
  <authors>
    <author>Administrator</author>
  </authors>
  <commentList>
    <comment ref="H2" authorId="0">
      <text>
        <r>
          <rPr>
            <sz val="11"/>
            <color theme="1"/>
            <rFont val="宋体"/>
            <family val="2"/>
            <charset val="134"/>
            <scheme val="minor"/>
          </rPr>
          <t>Administrator:</t>
        </r>
        <r>
          <rPr>
            <sz val="11"/>
            <color theme="1"/>
            <rFont val="宋体"/>
            <family val="2"/>
            <charset val="134"/>
            <scheme val="minor"/>
          </rPr>
          <t xml:space="preserve">
1703航次C9卸完继续装C9，离泊时间即为文件上船时间</t>
        </r>
      </text>
    </comment>
    <comment ref="H4" authorId="0">
      <text>
        <r>
          <rPr>
            <sz val="11"/>
            <color theme="1"/>
            <rFont val="宋体"/>
            <family val="2"/>
            <charset val="134"/>
            <scheme val="minor"/>
          </rPr>
          <t>Administrator:</t>
        </r>
        <r>
          <rPr>
            <sz val="11"/>
            <color theme="1"/>
            <rFont val="宋体"/>
            <family val="2"/>
            <charset val="134"/>
            <scheme val="minor"/>
          </rPr>
          <t xml:space="preserve">
1709航次C9卸货完原地装C9，没有离泊，离泊时间为文件上船时间</t>
        </r>
      </text>
    </comment>
  </commentList>
</comments>
</file>

<file path=xl/sharedStrings.xml><?xml version="1.0" encoding="utf-8"?>
<sst xmlns="http://schemas.openxmlformats.org/spreadsheetml/2006/main" count="3827" uniqueCount="1029">
  <si>
    <t>宁波</t>
  </si>
  <si>
    <t>DH1</t>
    <phoneticPr fontId="0" type="noConversion"/>
  </si>
  <si>
    <t>山东</t>
    <phoneticPr fontId="0" type="noConversion"/>
  </si>
  <si>
    <t>DH9</t>
    <phoneticPr fontId="0" type="noConversion"/>
  </si>
  <si>
    <t>南京</t>
    <phoneticPr fontId="0" type="noConversion"/>
  </si>
  <si>
    <t>江阴</t>
  </si>
  <si>
    <t>高雄</t>
  </si>
  <si>
    <t>台中</t>
  </si>
  <si>
    <t>高雄</t>
    <phoneticPr fontId="0" type="noConversion"/>
  </si>
  <si>
    <t>RMB</t>
    <phoneticPr fontId="0" type="noConversion"/>
  </si>
  <si>
    <t>USD</t>
    <phoneticPr fontId="0" type="noConversion"/>
  </si>
  <si>
    <t>DH5</t>
    <phoneticPr fontId="0" type="noConversion"/>
  </si>
  <si>
    <t>麦寮</t>
    <phoneticPr fontId="0" type="noConversion"/>
  </si>
  <si>
    <t>HANSEN</t>
    <phoneticPr fontId="0" type="noConversion"/>
  </si>
  <si>
    <t>DH9</t>
    <phoneticPr fontId="0" type="noConversion"/>
  </si>
  <si>
    <t>台中</t>
    <phoneticPr fontId="0" type="noConversion"/>
  </si>
  <si>
    <t>天津</t>
    <phoneticPr fontId="0" type="noConversion"/>
  </si>
  <si>
    <t>天津海安</t>
    <phoneticPr fontId="0" type="noConversion"/>
  </si>
  <si>
    <t>船名</t>
    <phoneticPr fontId="0" type="noConversion"/>
  </si>
  <si>
    <t>航次</t>
    <phoneticPr fontId="0" type="noConversion"/>
  </si>
  <si>
    <t>港口</t>
    <phoneticPr fontId="0" type="noConversion"/>
  </si>
  <si>
    <t>币种</t>
    <phoneticPr fontId="0" type="noConversion"/>
  </si>
  <si>
    <t>金额</t>
    <phoneticPr fontId="0" type="noConversion"/>
  </si>
  <si>
    <t>代理</t>
    <phoneticPr fontId="0" type="noConversion"/>
  </si>
  <si>
    <t>DH10</t>
    <phoneticPr fontId="0" type="noConversion"/>
  </si>
  <si>
    <t>DH15</t>
    <phoneticPr fontId="0" type="noConversion"/>
  </si>
  <si>
    <t>漕泾</t>
    <phoneticPr fontId="0" type="noConversion"/>
  </si>
  <si>
    <t>上海外轮代理</t>
    <phoneticPr fontId="0" type="noConversion"/>
  </si>
  <si>
    <t>中国江阴外轮</t>
    <phoneticPr fontId="0" type="noConversion"/>
  </si>
  <si>
    <t>江阴</t>
    <phoneticPr fontId="0" type="noConversion"/>
  </si>
  <si>
    <t>DH18</t>
    <phoneticPr fontId="0" type="noConversion"/>
  </si>
  <si>
    <t>san kwang</t>
    <phoneticPr fontId="0" type="noConversion"/>
  </si>
  <si>
    <t>宁波</t>
    <phoneticPr fontId="0" type="noConversion"/>
  </si>
  <si>
    <t>张家港</t>
    <phoneticPr fontId="0" type="noConversion"/>
  </si>
  <si>
    <t>中国张家港</t>
    <phoneticPr fontId="0" type="noConversion"/>
  </si>
  <si>
    <t>班级</t>
  </si>
  <si>
    <t xml:space="preserve">旗袍走秀体验课 </t>
  </si>
  <si>
    <t>指导老师</t>
  </si>
  <si>
    <t>许德亮</t>
  </si>
  <si>
    <t>泰州</t>
    <phoneticPr fontId="0" type="noConversion"/>
  </si>
  <si>
    <t>泰州外轮代理有限公司</t>
  </si>
  <si>
    <t>周文军</t>
  </si>
  <si>
    <t>杨敏</t>
  </si>
  <si>
    <t>黄婕</t>
  </si>
  <si>
    <t>杨金妹</t>
  </si>
  <si>
    <t>周琼</t>
  </si>
  <si>
    <t>陈丽珍</t>
  </si>
  <si>
    <t>曹华云</t>
  </si>
  <si>
    <t>王奕玲</t>
  </si>
  <si>
    <t>洪桂芝</t>
  </si>
  <si>
    <t>施蓝</t>
  </si>
  <si>
    <t>魏淑珍</t>
  </si>
  <si>
    <t>朱克静</t>
  </si>
  <si>
    <t>石平程</t>
  </si>
  <si>
    <t>肖琍</t>
  </si>
  <si>
    <t>韩麒麟</t>
  </si>
  <si>
    <t>张锦琴</t>
  </si>
  <si>
    <t>金碧荣</t>
  </si>
  <si>
    <t>陈桂兰</t>
  </si>
  <si>
    <t>陈国华</t>
  </si>
  <si>
    <t>许秋萍</t>
  </si>
  <si>
    <t>朱慧丽</t>
  </si>
  <si>
    <t>薛芸芸</t>
  </si>
  <si>
    <t>陈卓</t>
  </si>
  <si>
    <t>龚健行</t>
  </si>
  <si>
    <t>汪祖琴</t>
  </si>
  <si>
    <t>黄凤芳</t>
  </si>
  <si>
    <t>殷彩萍</t>
  </si>
  <si>
    <t>崔艳丽</t>
  </si>
  <si>
    <t>郑雅莉</t>
  </si>
  <si>
    <t>王洁</t>
  </si>
  <si>
    <t>徐继凤</t>
  </si>
  <si>
    <t>李琴</t>
  </si>
  <si>
    <t>牛莉莉</t>
  </si>
  <si>
    <t>杨丽华</t>
  </si>
  <si>
    <t>张林洪</t>
  </si>
  <si>
    <t>熊玉云</t>
  </si>
  <si>
    <t>陆瑛</t>
  </si>
  <si>
    <t>魏丽馨</t>
  </si>
  <si>
    <t>刘宁</t>
  </si>
  <si>
    <t>李红兰</t>
  </si>
  <si>
    <t>汤英</t>
  </si>
  <si>
    <t>刘韵珠</t>
  </si>
  <si>
    <t>申飞玲</t>
  </si>
  <si>
    <t>周爱玉</t>
  </si>
  <si>
    <t>黄益萍</t>
  </si>
  <si>
    <t>申晓耘</t>
  </si>
  <si>
    <t>施洁</t>
  </si>
  <si>
    <t>乔蓉倩</t>
  </si>
  <si>
    <t>许瑞珂</t>
  </si>
  <si>
    <t>姓名</t>
  </si>
  <si>
    <t>编号</t>
  </si>
  <si>
    <t>童小珍</t>
  </si>
  <si>
    <t>颜秀</t>
  </si>
  <si>
    <t>杨文华</t>
  </si>
  <si>
    <t>年</t>
  </si>
  <si>
    <t>月</t>
  </si>
  <si>
    <t>日</t>
  </si>
  <si>
    <t>二〇一八</t>
  </si>
  <si>
    <t>一</t>
  </si>
  <si>
    <t>十四</t>
  </si>
  <si>
    <t>201800334</t>
  </si>
  <si>
    <t>201800335</t>
  </si>
  <si>
    <t>201800336</t>
  </si>
  <si>
    <t>201800337</t>
  </si>
  <si>
    <t>201800338</t>
  </si>
  <si>
    <t>201800339</t>
  </si>
  <si>
    <t>201800340</t>
  </si>
  <si>
    <t>201800341</t>
  </si>
  <si>
    <t>201800342</t>
  </si>
  <si>
    <t>201800343</t>
  </si>
  <si>
    <t>201800344</t>
  </si>
  <si>
    <t>201800345</t>
  </si>
  <si>
    <t>201800346</t>
  </si>
  <si>
    <t>201800347</t>
  </si>
  <si>
    <t>201800348</t>
  </si>
  <si>
    <t>201800349</t>
  </si>
  <si>
    <t>201800350</t>
  </si>
  <si>
    <t>201800351</t>
  </si>
  <si>
    <t>201800352</t>
  </si>
  <si>
    <t>201800353</t>
  </si>
  <si>
    <t>201800354</t>
  </si>
  <si>
    <t>201800355</t>
  </si>
  <si>
    <t>201800356</t>
  </si>
  <si>
    <t>201800357</t>
  </si>
  <si>
    <t>201800358</t>
  </si>
  <si>
    <t>201800359</t>
  </si>
  <si>
    <t>201800360</t>
  </si>
  <si>
    <t>201800361</t>
  </si>
  <si>
    <t>201800362</t>
  </si>
  <si>
    <t>201800363</t>
  </si>
  <si>
    <t>201800364</t>
  </si>
  <si>
    <t>201800365</t>
  </si>
  <si>
    <t>201800366</t>
  </si>
  <si>
    <t>201800367</t>
  </si>
  <si>
    <t>201800368</t>
  </si>
  <si>
    <t>201800369</t>
  </si>
  <si>
    <t>201800370</t>
  </si>
  <si>
    <t>201800371</t>
  </si>
  <si>
    <t>201800372</t>
  </si>
  <si>
    <t>201800373</t>
  </si>
  <si>
    <t>201800374</t>
  </si>
  <si>
    <t>201800375</t>
  </si>
  <si>
    <t>201800376</t>
  </si>
  <si>
    <t>201800377</t>
  </si>
  <si>
    <t>201800378</t>
  </si>
  <si>
    <t>201800379</t>
  </si>
  <si>
    <t>201800380</t>
  </si>
  <si>
    <t>201800381</t>
  </si>
  <si>
    <t>201800382</t>
  </si>
  <si>
    <t>201800383</t>
  </si>
  <si>
    <t>201800384</t>
  </si>
  <si>
    <t>201800385</t>
  </si>
  <si>
    <t>DH16</t>
    <phoneticPr fontId="0" type="noConversion"/>
  </si>
  <si>
    <t>DH7</t>
    <phoneticPr fontId="0" type="noConversion"/>
  </si>
  <si>
    <t>常州外轮代理有限公司</t>
  </si>
  <si>
    <t>常州</t>
  </si>
  <si>
    <t>镇海</t>
  </si>
  <si>
    <t>宁波市镇海港申船务代理有限公司</t>
  </si>
  <si>
    <t>201800386</t>
  </si>
  <si>
    <t>陈佩芳</t>
  </si>
  <si>
    <t>沈嘉敏</t>
  </si>
  <si>
    <t>零基础旗袍走秀班</t>
  </si>
  <si>
    <t>黄亚君</t>
  </si>
  <si>
    <t>刘玲琍</t>
  </si>
  <si>
    <t>陆玉莲</t>
  </si>
  <si>
    <t>刘秀贞</t>
  </si>
  <si>
    <t>董维佳</t>
  </si>
  <si>
    <t>肖本美</t>
  </si>
  <si>
    <t>陆志英</t>
  </si>
  <si>
    <t>王美娣</t>
  </si>
  <si>
    <t>周录云</t>
  </si>
  <si>
    <t>黄美玉</t>
  </si>
  <si>
    <t>黄美丽</t>
  </si>
  <si>
    <t>陈娟娣</t>
  </si>
  <si>
    <t>陈永妹</t>
  </si>
  <si>
    <t>邱兴艳</t>
  </si>
  <si>
    <t>陈宝琴</t>
  </si>
  <si>
    <t>吴绍华</t>
  </si>
  <si>
    <t>陆海兰</t>
  </si>
  <si>
    <t>蒋慧珠</t>
  </si>
  <si>
    <t>朱爱萍</t>
  </si>
  <si>
    <t>刘联凤</t>
  </si>
  <si>
    <t>邓庆珍</t>
  </si>
  <si>
    <t>朱道真</t>
  </si>
  <si>
    <t>韩金枝</t>
  </si>
  <si>
    <t>王永芬</t>
  </si>
  <si>
    <t>卢望菊</t>
  </si>
  <si>
    <t>陈志芹</t>
  </si>
  <si>
    <t>钱高杨</t>
  </si>
  <si>
    <t>许刘英</t>
  </si>
  <si>
    <t>张敬珍</t>
  </si>
  <si>
    <t>沈春兰</t>
  </si>
  <si>
    <t>王芳</t>
  </si>
  <si>
    <t>刘颖</t>
  </si>
  <si>
    <t>张飞凤</t>
  </si>
  <si>
    <t>许明强</t>
  </si>
  <si>
    <t>冯敏</t>
  </si>
  <si>
    <t>张海红</t>
  </si>
  <si>
    <t>胡菊仙</t>
  </si>
  <si>
    <t>顾月妹</t>
  </si>
  <si>
    <t>周泽英</t>
  </si>
  <si>
    <t>金伟霞</t>
  </si>
  <si>
    <t>李月嫩</t>
  </si>
  <si>
    <t>余丽萍</t>
  </si>
  <si>
    <t>殷慈伟</t>
  </si>
  <si>
    <t>徐知蜜</t>
  </si>
  <si>
    <t>宋超英</t>
  </si>
  <si>
    <t>张祥娣</t>
  </si>
  <si>
    <t>王秋萍</t>
  </si>
  <si>
    <t>陈秀芳</t>
  </si>
  <si>
    <t>夏艳芳</t>
  </si>
  <si>
    <t>钱云</t>
  </si>
  <si>
    <t>梁菊妹</t>
  </si>
  <si>
    <t>许艳滨</t>
  </si>
  <si>
    <t>王佳竞</t>
  </si>
  <si>
    <t>狄保风</t>
  </si>
  <si>
    <t>张林娣</t>
  </si>
  <si>
    <t>应燕萍</t>
  </si>
  <si>
    <t>施萍</t>
  </si>
  <si>
    <t>朱萍萍</t>
  </si>
  <si>
    <t>郑桂花</t>
  </si>
  <si>
    <t>张鹤凡</t>
  </si>
  <si>
    <t>张桂云</t>
  </si>
  <si>
    <t>陆绮</t>
  </si>
  <si>
    <t>陆巧金</t>
  </si>
  <si>
    <t>朱于巧</t>
  </si>
  <si>
    <t>张湘兰</t>
  </si>
  <si>
    <t>王玉琴</t>
  </si>
  <si>
    <t>任幼芳</t>
  </si>
  <si>
    <t>周勤凤</t>
  </si>
  <si>
    <t>刘静娟</t>
  </si>
  <si>
    <t>章济民</t>
  </si>
  <si>
    <t>任幼兰</t>
  </si>
  <si>
    <t>汤燕平</t>
  </si>
  <si>
    <t>王蓓玲</t>
  </si>
  <si>
    <t>张凤</t>
  </si>
  <si>
    <t>郭永将</t>
  </si>
  <si>
    <t>朱祥英</t>
  </si>
  <si>
    <t>杨雪东</t>
  </si>
  <si>
    <t>吴红娟</t>
  </si>
  <si>
    <t>王冬玲</t>
  </si>
  <si>
    <t>周腊梅</t>
  </si>
  <si>
    <t>甘明珠</t>
  </si>
  <si>
    <t>陶坤兰</t>
  </si>
  <si>
    <t>陈琴</t>
  </si>
  <si>
    <t>薛芸茵</t>
  </si>
  <si>
    <t>王莉敏</t>
  </si>
  <si>
    <t>张玉玲</t>
  </si>
  <si>
    <t>辛美容</t>
  </si>
  <si>
    <t>蔡金妹</t>
  </si>
  <si>
    <t>毛松伟</t>
  </si>
  <si>
    <t>陈春晓</t>
  </si>
  <si>
    <t>陈立红</t>
  </si>
  <si>
    <t>冯善平</t>
  </si>
  <si>
    <t>陆英芳</t>
  </si>
  <si>
    <t>王锦春</t>
  </si>
  <si>
    <t>李根娣</t>
  </si>
  <si>
    <t>丁水花</t>
  </si>
  <si>
    <t>孙惠莉</t>
  </si>
  <si>
    <t>赵根琴</t>
  </si>
  <si>
    <t>苏丹丹</t>
  </si>
  <si>
    <t>朱永芬</t>
  </si>
  <si>
    <t>徐静</t>
  </si>
  <si>
    <t>陈兰</t>
  </si>
  <si>
    <t>陈云云</t>
  </si>
  <si>
    <t>顾娟</t>
  </si>
  <si>
    <t>李军</t>
  </si>
  <si>
    <t>毛玉华</t>
  </si>
  <si>
    <t>杨子</t>
  </si>
  <si>
    <t>彭学华</t>
  </si>
  <si>
    <t>殷彩苹</t>
  </si>
  <si>
    <t>董丽华</t>
  </si>
  <si>
    <t>晏金娣</t>
  </si>
  <si>
    <t>陈丹</t>
  </si>
  <si>
    <t>籍美琴</t>
  </si>
  <si>
    <t>曹心如</t>
  </si>
  <si>
    <t>卢素青</t>
  </si>
  <si>
    <t>曹海鸿</t>
  </si>
  <si>
    <t>孙妮娜</t>
  </si>
  <si>
    <t>钱军英</t>
  </si>
  <si>
    <t>庞海云</t>
  </si>
  <si>
    <t>张春燕</t>
  </si>
  <si>
    <t>张金兰</t>
  </si>
  <si>
    <t>包新兰</t>
  </si>
  <si>
    <t>卫艳霞</t>
  </si>
  <si>
    <t>孟美宝</t>
  </si>
  <si>
    <t>颜玲珍</t>
  </si>
  <si>
    <t>高雅玫</t>
  </si>
  <si>
    <t>旗袍走秀表演班</t>
  </si>
  <si>
    <t>须晓明</t>
  </si>
  <si>
    <t>宗臻</t>
  </si>
  <si>
    <t>王玲</t>
  </si>
  <si>
    <t>林振华</t>
  </si>
  <si>
    <t>袁莉</t>
  </si>
  <si>
    <t>应秀珍</t>
  </si>
  <si>
    <t>朱红媚</t>
  </si>
  <si>
    <t>刘燕</t>
  </si>
  <si>
    <t>文桂荣</t>
  </si>
  <si>
    <t>马丽华</t>
  </si>
  <si>
    <t>黄雅琴</t>
  </si>
  <si>
    <t>郁琳</t>
  </si>
  <si>
    <t>沈萍</t>
  </si>
  <si>
    <t>顾彩萍</t>
  </si>
  <si>
    <t>吕庆梅</t>
  </si>
  <si>
    <t>吕小梅</t>
  </si>
  <si>
    <t>贾爱荣</t>
  </si>
  <si>
    <t>朱苏华</t>
  </si>
  <si>
    <t>王爱琴</t>
  </si>
  <si>
    <t>梅涟</t>
  </si>
  <si>
    <t>虞彩娣</t>
  </si>
  <si>
    <t>周建力</t>
  </si>
  <si>
    <t>王菊</t>
  </si>
  <si>
    <t>徐华瑶</t>
  </si>
  <si>
    <t>蒋美英</t>
  </si>
  <si>
    <t>拉丁伦巴零基础班</t>
  </si>
  <si>
    <t>贺荣征</t>
  </si>
  <si>
    <t>季荣</t>
  </si>
  <si>
    <t>黄颖</t>
  </si>
  <si>
    <t>季洪</t>
  </si>
  <si>
    <t>高伟英</t>
  </si>
  <si>
    <t>肖洁</t>
  </si>
  <si>
    <t>应丽芬</t>
  </si>
  <si>
    <t>陈晓梅</t>
  </si>
  <si>
    <t>肖丽玉</t>
  </si>
  <si>
    <t>赵燕玉</t>
  </si>
  <si>
    <t>王怡淳</t>
  </si>
  <si>
    <t>陆菊华</t>
  </si>
  <si>
    <t>杨缨</t>
  </si>
  <si>
    <t>顾玲珍</t>
  </si>
  <si>
    <t>杨文苏</t>
  </si>
  <si>
    <t>熊红玉</t>
  </si>
  <si>
    <t>张林英</t>
  </si>
  <si>
    <t>陆秀珍</t>
  </si>
  <si>
    <t>董黛元</t>
  </si>
  <si>
    <t>罗志群</t>
  </si>
  <si>
    <t>唐亚芬</t>
  </si>
  <si>
    <t>沈竹</t>
  </si>
  <si>
    <t>杨立萍</t>
  </si>
  <si>
    <t>黄燕</t>
  </si>
  <si>
    <t>潘爱萍</t>
  </si>
  <si>
    <t>龚华林</t>
  </si>
  <si>
    <t>杨明华</t>
  </si>
  <si>
    <t>刘明美</t>
  </si>
  <si>
    <t>李桂馥</t>
  </si>
  <si>
    <t>于雪华</t>
  </si>
  <si>
    <t>汤黎</t>
  </si>
  <si>
    <t>倪忠敏</t>
  </si>
  <si>
    <t>张道芳</t>
  </si>
  <si>
    <t>李跃芹</t>
  </si>
  <si>
    <t>孙锡娣</t>
  </si>
  <si>
    <t>裴明英</t>
  </si>
  <si>
    <t>袁珊玫</t>
  </si>
  <si>
    <t>颜英芬</t>
  </si>
  <si>
    <t>蒋晓燕</t>
  </si>
  <si>
    <t>陆燕</t>
  </si>
  <si>
    <t>施美芳</t>
  </si>
  <si>
    <t>褚龙娣</t>
  </si>
  <si>
    <t>卜海鹰</t>
  </si>
  <si>
    <t>吴银娣</t>
  </si>
  <si>
    <t>刘炳芳</t>
  </si>
  <si>
    <t>徐琤</t>
  </si>
  <si>
    <t>汪恩红</t>
  </si>
  <si>
    <t>肖华</t>
  </si>
  <si>
    <t>陈雅君</t>
  </si>
  <si>
    <t>隋凤兰</t>
  </si>
  <si>
    <t>王桂芳</t>
  </si>
  <si>
    <t>陈爱英</t>
  </si>
  <si>
    <t>刘坤</t>
  </si>
  <si>
    <t>姚建军</t>
  </si>
  <si>
    <t>周薇</t>
  </si>
  <si>
    <t>穆素梅</t>
  </si>
  <si>
    <t>罗玉春</t>
  </si>
  <si>
    <t>陈秀清</t>
  </si>
  <si>
    <t>毛春珍</t>
  </si>
  <si>
    <t>白换岭</t>
  </si>
  <si>
    <t>于淑华</t>
  </si>
  <si>
    <t>季秀荣</t>
  </si>
  <si>
    <t>赵桂芳</t>
  </si>
  <si>
    <t>李桂荣</t>
  </si>
  <si>
    <t>于万云</t>
  </si>
  <si>
    <t>王丽芬</t>
  </si>
  <si>
    <t>郭巧敏</t>
  </si>
  <si>
    <t>侯秀芬</t>
  </si>
  <si>
    <t>周凤</t>
  </si>
  <si>
    <t>田玉兰</t>
  </si>
  <si>
    <t>牛随清</t>
  </si>
  <si>
    <t>谭素梅</t>
  </si>
  <si>
    <t>王爱华</t>
  </si>
  <si>
    <t>祁丽琴</t>
  </si>
  <si>
    <t>张玉华</t>
  </si>
  <si>
    <t>曹丽英</t>
  </si>
  <si>
    <t>陈辉</t>
  </si>
  <si>
    <t>桂文娟</t>
  </si>
  <si>
    <t>魏祥珍</t>
  </si>
  <si>
    <t>沈红</t>
  </si>
  <si>
    <t>唐瑞芳</t>
  </si>
  <si>
    <t>楼萍</t>
  </si>
  <si>
    <t>高理霞</t>
  </si>
  <si>
    <t>姜梅</t>
  </si>
  <si>
    <t>胥云莲</t>
  </si>
  <si>
    <t>叶英</t>
  </si>
  <si>
    <t>林莉</t>
  </si>
  <si>
    <t>关敏燕</t>
  </si>
  <si>
    <t>魏鸿娟</t>
  </si>
  <si>
    <t>林霭融</t>
  </si>
  <si>
    <t>许建忆</t>
  </si>
  <si>
    <t>余敏</t>
  </si>
  <si>
    <t>黄丽华</t>
  </si>
  <si>
    <t>顾惠娟</t>
  </si>
  <si>
    <t>沈菊利</t>
  </si>
  <si>
    <t>杨宝妹</t>
  </si>
  <si>
    <t>冯国军</t>
  </si>
  <si>
    <t>陶春桃</t>
  </si>
  <si>
    <t>傅宪英</t>
  </si>
  <si>
    <t>姜雪静</t>
  </si>
  <si>
    <t>金晶</t>
  </si>
  <si>
    <t>张庆俊</t>
  </si>
  <si>
    <t>徐敏</t>
  </si>
  <si>
    <t>陶杏梅</t>
  </si>
  <si>
    <t>陈露</t>
  </si>
  <si>
    <t>陈彩云</t>
  </si>
  <si>
    <t>陈春</t>
  </si>
  <si>
    <t>戴玉琴</t>
  </si>
  <si>
    <t>姜爱军</t>
  </si>
  <si>
    <t>杨磊</t>
  </si>
  <si>
    <t>成琴芳</t>
  </si>
  <si>
    <t>咸詠珠</t>
  </si>
  <si>
    <t>俞绮华</t>
  </si>
  <si>
    <t>邱海红</t>
  </si>
  <si>
    <t>陆雯</t>
  </si>
  <si>
    <t>孙晓</t>
  </si>
  <si>
    <t>黄丰乐</t>
  </si>
  <si>
    <t>张小丽</t>
  </si>
  <si>
    <t>岳春荣</t>
  </si>
  <si>
    <t>陶立红</t>
  </si>
  <si>
    <t>蒋一民</t>
  </si>
  <si>
    <t>十三</t>
    <phoneticPr fontId="0" type="noConversion"/>
  </si>
  <si>
    <t>　一</t>
    <phoneticPr fontId="0" type="noConversion"/>
  </si>
  <si>
    <t>DH1</t>
    <phoneticPr fontId="0" type="noConversion"/>
  </si>
  <si>
    <t>钦州</t>
    <phoneticPr fontId="0" type="noConversion"/>
  </si>
  <si>
    <t>鞠敏英</t>
  </si>
  <si>
    <t>广西祥运船务代理有限公司</t>
    <phoneticPr fontId="0" type="noConversion"/>
  </si>
  <si>
    <t>DH2</t>
    <phoneticPr fontId="0" type="noConversion"/>
  </si>
  <si>
    <t>安平</t>
    <phoneticPr fontId="0" type="noConversion"/>
  </si>
  <si>
    <t>USD</t>
    <phoneticPr fontId="0" type="noConversion"/>
  </si>
  <si>
    <t>SANKWANG SHIPPING AGENICES,INC</t>
  </si>
  <si>
    <t>高雄</t>
    <phoneticPr fontId="0" type="noConversion"/>
  </si>
  <si>
    <t>任务</t>
  </si>
  <si>
    <t>数据</t>
  </si>
  <si>
    <t>备注</t>
  </si>
  <si>
    <t xml:space="preserve"> 协助操作完成用友账单</t>
  </si>
  <si>
    <r>
      <t>约</t>
    </r>
    <r>
      <rPr>
        <sz val="11"/>
        <color theme="1"/>
        <rFont val="宋体"/>
        <family val="2"/>
        <charset val="134"/>
        <scheme val="minor"/>
      </rPr>
      <t>800</t>
    </r>
    <r>
      <rPr>
        <sz val="11"/>
        <color theme="1"/>
        <rFont val="宋体"/>
        <family val="2"/>
        <charset val="134"/>
        <scheme val="minor"/>
      </rPr>
      <t>单</t>
    </r>
  </si>
  <si>
    <t xml:space="preserve"> 协助操作修改船舶动态表</t>
  </si>
  <si>
    <r>
      <t>约</t>
    </r>
    <r>
      <rPr>
        <sz val="11"/>
        <color theme="1"/>
        <rFont val="宋体"/>
        <family val="2"/>
        <charset val="134"/>
        <scheme val="minor"/>
      </rPr>
      <t>200</t>
    </r>
    <r>
      <rPr>
        <sz val="11"/>
        <color theme="1"/>
        <rFont val="宋体"/>
        <family val="2"/>
        <charset val="134"/>
        <scheme val="minor"/>
      </rPr>
      <t>次</t>
    </r>
  </si>
  <si>
    <r>
      <t>3</t>
    </r>
    <r>
      <rPr>
        <sz val="11"/>
        <color theme="1"/>
        <rFont val="宋体"/>
        <family val="2"/>
        <charset val="134"/>
        <scheme val="minor"/>
      </rPr>
      <t>月份开始　</t>
    </r>
  </si>
  <si>
    <t xml:space="preserve"> 协助李经理完善吉化年审信息</t>
  </si>
  <si>
    <r>
      <t>1</t>
    </r>
    <r>
      <rPr>
        <sz val="11"/>
        <color theme="1"/>
        <rFont val="宋体"/>
        <family val="2"/>
        <charset val="134"/>
        <scheme val="minor"/>
      </rPr>
      <t>次</t>
    </r>
  </si>
  <si>
    <t xml:space="preserve"> 协助李经理完善中海油档案</t>
  </si>
  <si>
    <t xml:space="preserve"> 协助方主管处理中海油招投标</t>
  </si>
  <si>
    <t xml:space="preserve"> 协助秦副总催收、整合业务管理计划表</t>
  </si>
  <si>
    <r>
      <t>12</t>
    </r>
    <r>
      <rPr>
        <sz val="11"/>
        <color theme="1"/>
        <rFont val="宋体"/>
        <family val="2"/>
        <charset val="134"/>
        <scheme val="minor"/>
      </rPr>
      <t>次</t>
    </r>
  </si>
  <si>
    <t xml:space="preserve"> 协助张主管完成油耗统计表、能效管理表</t>
  </si>
  <si>
    <r>
      <t>2</t>
    </r>
    <r>
      <rPr>
        <sz val="11"/>
        <color theme="1"/>
        <rFont val="宋体"/>
        <family val="2"/>
        <charset val="134"/>
        <scheme val="minor"/>
      </rPr>
      <t>张表</t>
    </r>
  </si>
  <si>
    <r>
      <t>　</t>
    </r>
    <r>
      <rPr>
        <sz val="11"/>
        <color theme="1"/>
        <rFont val="宋体"/>
        <family val="2"/>
        <charset val="134"/>
        <scheme val="minor"/>
      </rPr>
      <t>11</t>
    </r>
    <r>
      <rPr>
        <sz val="11"/>
        <color theme="1"/>
        <rFont val="宋体"/>
        <family val="2"/>
        <charset val="134"/>
        <scheme val="minor"/>
      </rPr>
      <t>月</t>
    </r>
    <r>
      <rPr>
        <sz val="11"/>
        <color theme="1"/>
        <rFont val="宋体"/>
        <family val="2"/>
        <charset val="134"/>
        <scheme val="minor"/>
      </rPr>
      <t xml:space="preserve"> </t>
    </r>
  </si>
  <si>
    <t xml:space="preserve"> 发布大家庭动态表</t>
  </si>
  <si>
    <r>
      <t>142</t>
    </r>
    <r>
      <rPr>
        <sz val="11"/>
        <color theme="1"/>
        <rFont val="宋体"/>
        <family val="2"/>
        <charset val="134"/>
        <scheme val="minor"/>
      </rPr>
      <t>次</t>
    </r>
  </si>
  <si>
    <r>
      <t>6-26</t>
    </r>
    <r>
      <rPr>
        <sz val="11"/>
        <color theme="1"/>
        <rFont val="宋体"/>
        <family val="2"/>
        <charset val="134"/>
        <scheme val="minor"/>
      </rPr>
      <t>开始</t>
    </r>
  </si>
  <si>
    <t xml:space="preserve"> 收集整理航运市场信息</t>
  </si>
  <si>
    <r>
      <t>2</t>
    </r>
    <r>
      <rPr>
        <sz val="11"/>
        <color theme="1"/>
        <rFont val="宋体"/>
        <family val="2"/>
        <charset val="134"/>
        <scheme val="minor"/>
      </rPr>
      <t>次</t>
    </r>
  </si>
  <si>
    <t xml:space="preserve"> 填写dataloy</t>
  </si>
  <si>
    <r>
      <t>532</t>
    </r>
    <r>
      <rPr>
        <sz val="11"/>
        <color theme="1"/>
        <rFont val="宋体"/>
        <family val="2"/>
        <charset val="134"/>
        <scheme val="minor"/>
      </rPr>
      <t>航次</t>
    </r>
  </si>
  <si>
    <t xml:space="preserve"> 续费dataloy</t>
  </si>
  <si>
    <r>
      <t>节约</t>
    </r>
    <r>
      <rPr>
        <sz val="11"/>
        <color theme="1"/>
        <rFont val="宋体"/>
        <family val="2"/>
        <charset val="134"/>
        <scheme val="minor"/>
      </rPr>
      <t>NOK94050</t>
    </r>
  </si>
  <si>
    <r>
      <t>￥</t>
    </r>
    <r>
      <rPr>
        <sz val="11"/>
        <color theme="1"/>
        <rFont val="宋体"/>
        <family val="2"/>
        <charset val="134"/>
        <scheme val="minor"/>
      </rPr>
      <t xml:space="preserve">75852 </t>
    </r>
  </si>
  <si>
    <t>制作业务部TC统计表</t>
    <phoneticPr fontId="0" type="noConversion"/>
  </si>
  <si>
    <t>12月</t>
    <phoneticPr fontId="0" type="noConversion"/>
  </si>
  <si>
    <t>12-14</t>
    <phoneticPr fontId="0" type="noConversion"/>
  </si>
  <si>
    <t>全年</t>
    <phoneticPr fontId="0" type="noConversion"/>
  </si>
  <si>
    <t>DH5</t>
    <phoneticPr fontId="0" type="noConversion"/>
  </si>
  <si>
    <t>麦寮-珠海</t>
    <phoneticPr fontId="0" type="noConversion"/>
  </si>
  <si>
    <t>船 名</t>
  </si>
  <si>
    <t>航 次</t>
  </si>
  <si>
    <t>币别</t>
    <phoneticPr fontId="0" type="noConversion"/>
  </si>
  <si>
    <t>货量</t>
    <phoneticPr fontId="0" type="noConversion"/>
  </si>
  <si>
    <t>航线</t>
  </si>
  <si>
    <t>航行区域</t>
    <phoneticPr fontId="0" type="noConversion"/>
  </si>
  <si>
    <r>
      <rPr>
        <sz val="11"/>
        <color theme="1"/>
        <rFont val="宋体"/>
        <family val="2"/>
        <charset val="134"/>
        <scheme val="minor"/>
      </rPr>
      <t>货  名</t>
    </r>
  </si>
  <si>
    <t>公司</t>
  </si>
  <si>
    <t>金  额</t>
  </si>
  <si>
    <t>净收入（扣税或折算人民币）</t>
  </si>
  <si>
    <t>佣金</t>
  </si>
  <si>
    <t>A港港使费</t>
  </si>
  <si>
    <t>B港港使费</t>
  </si>
  <si>
    <r>
      <t>轻油消耗量</t>
    </r>
    <r>
      <rPr>
        <sz val="11"/>
        <color theme="1"/>
        <rFont val="宋体"/>
        <family val="2"/>
        <charset val="134"/>
        <scheme val="minor"/>
      </rPr>
      <t>(MT)</t>
    </r>
    <phoneticPr fontId="0" type="noConversion"/>
  </si>
  <si>
    <t>轻油当月单价</t>
  </si>
  <si>
    <r>
      <t>重油消耗量</t>
    </r>
    <r>
      <rPr>
        <sz val="11"/>
        <color theme="1"/>
        <rFont val="宋体"/>
        <family val="2"/>
        <charset val="134"/>
        <scheme val="minor"/>
      </rPr>
      <t>(MT)</t>
    </r>
    <phoneticPr fontId="0" type="noConversion"/>
  </si>
  <si>
    <t>重油当月单价</t>
  </si>
  <si>
    <t>总计油费</t>
  </si>
  <si>
    <t>航次开始时间</t>
  </si>
  <si>
    <t>航次结束时间</t>
    <phoneticPr fontId="0" type="noConversion"/>
  </si>
  <si>
    <t>offhire</t>
  </si>
  <si>
    <t>航次执行时间</t>
    <phoneticPr fontId="0" type="noConversion"/>
  </si>
  <si>
    <t>期租水平TC(RMB/24h)</t>
    <phoneticPr fontId="0" type="noConversion"/>
  </si>
  <si>
    <t>TC收入</t>
  </si>
  <si>
    <t>150N</t>
    <phoneticPr fontId="0" type="noConversion"/>
  </si>
  <si>
    <t>500N</t>
    <phoneticPr fontId="0" type="noConversion"/>
  </si>
  <si>
    <t>USD</t>
    <phoneticPr fontId="0" type="noConversion"/>
  </si>
  <si>
    <t>丽水-南通</t>
    <phoneticPr fontId="0" type="noConversion"/>
  </si>
  <si>
    <t>C5</t>
    <phoneticPr fontId="0" type="noConversion"/>
  </si>
  <si>
    <t>broker</t>
    <phoneticPr fontId="0" type="noConversion"/>
  </si>
  <si>
    <t>代理名</t>
    <phoneticPr fontId="0" type="noConversion"/>
  </si>
  <si>
    <t>租家</t>
    <phoneticPr fontId="0" type="noConversion"/>
  </si>
  <si>
    <t>费率</t>
    <phoneticPr fontId="0" type="noConversion"/>
  </si>
  <si>
    <t>佣金费率</t>
    <phoneticPr fontId="0" type="noConversion"/>
  </si>
  <si>
    <t>Royal Union Hong Kong Limited</t>
  </si>
  <si>
    <t>VANTAGE SHIPBROKER PTE LTD</t>
  </si>
  <si>
    <t>SINOGLORY MARINE CO.,LIMITED</t>
  </si>
  <si>
    <t>DOP</t>
    <phoneticPr fontId="0" type="noConversion"/>
  </si>
  <si>
    <t>DINP</t>
    <phoneticPr fontId="0" type="noConversion"/>
  </si>
  <si>
    <t>麦寮-张家港</t>
    <phoneticPr fontId="0" type="noConversion"/>
  </si>
  <si>
    <t>Marka Logistics Shanghai Co.,Ltd.</t>
  </si>
  <si>
    <t>镇江-平泽</t>
    <phoneticPr fontId="0" type="noConversion"/>
  </si>
  <si>
    <t>DH9</t>
    <phoneticPr fontId="0" type="noConversion"/>
  </si>
  <si>
    <t>大山-高雄</t>
    <phoneticPr fontId="0" type="noConversion"/>
  </si>
  <si>
    <t>Simpson Spence Young</t>
    <phoneticPr fontId="0" type="noConversion"/>
  </si>
  <si>
    <t>DH10</t>
    <phoneticPr fontId="0" type="noConversion"/>
  </si>
  <si>
    <t>麦寮-珠海</t>
    <phoneticPr fontId="0" type="noConversion"/>
  </si>
  <si>
    <t>ACE</t>
    <phoneticPr fontId="0" type="noConversion"/>
  </si>
  <si>
    <t>battan-宁波</t>
    <phoneticPr fontId="0" type="noConversion"/>
  </si>
  <si>
    <t>高雄-张家港</t>
    <phoneticPr fontId="0" type="noConversion"/>
  </si>
  <si>
    <t>TOL</t>
    <phoneticPr fontId="0" type="noConversion"/>
  </si>
  <si>
    <t>DH15</t>
    <phoneticPr fontId="0" type="noConversion"/>
  </si>
  <si>
    <t>DH17</t>
    <phoneticPr fontId="0" type="noConversion"/>
  </si>
  <si>
    <t>RMB</t>
    <phoneticPr fontId="0" type="noConversion"/>
  </si>
  <si>
    <t>RMB</t>
    <phoneticPr fontId="0" type="noConversion"/>
  </si>
  <si>
    <t>15~16</t>
    <phoneticPr fontId="0" type="noConversion"/>
  </si>
  <si>
    <t>16~17</t>
    <phoneticPr fontId="0" type="noConversion"/>
  </si>
  <si>
    <t>TOTAL</t>
    <phoneticPr fontId="0" type="noConversion"/>
  </si>
  <si>
    <t>PAID</t>
    <phoneticPr fontId="0" type="noConversion"/>
  </si>
  <si>
    <t>DH10</t>
    <phoneticPr fontId="0" type="noConversion"/>
  </si>
  <si>
    <t>Heng Yi Shipping Agent Co., Ltd.</t>
  </si>
  <si>
    <t>Heng Yi Shipping Agent Co., Ltd.</t>
    <phoneticPr fontId="0" type="noConversion"/>
  </si>
  <si>
    <t>南通</t>
    <phoneticPr fontId="0" type="noConversion"/>
  </si>
  <si>
    <t>南通汇联国际船务代理有限公司</t>
  </si>
  <si>
    <t>宁波</t>
    <phoneticPr fontId="0" type="noConversion"/>
  </si>
  <si>
    <t>宁波中远海运船务代理有限公司</t>
  </si>
  <si>
    <t>DH18</t>
    <phoneticPr fontId="0" type="noConversion"/>
  </si>
  <si>
    <t>南通</t>
    <phoneticPr fontId="0" type="noConversion"/>
  </si>
  <si>
    <t>时间</t>
  </si>
  <si>
    <t>整理船舶动态</t>
  </si>
  <si>
    <t>DATALOY</t>
  </si>
  <si>
    <t>偶尔：</t>
  </si>
  <si>
    <t>中海油招投标</t>
  </si>
  <si>
    <t>填写用友账单</t>
  </si>
  <si>
    <t>收集整理航运市场信息</t>
    <phoneticPr fontId="0" type="noConversion"/>
  </si>
  <si>
    <t>每日工作</t>
    <phoneticPr fontId="0" type="noConversion"/>
  </si>
  <si>
    <t>公路水路交通运输企业一套表统计调查</t>
  </si>
  <si>
    <t>2018-1-15持续四天</t>
    <phoneticPr fontId="0" type="noConversion"/>
  </si>
  <si>
    <t>每月工作</t>
    <phoneticPr fontId="0" type="noConversion"/>
  </si>
  <si>
    <t>TC表</t>
    <phoneticPr fontId="0" type="noConversion"/>
  </si>
  <si>
    <t>业务管理计划表</t>
    <phoneticPr fontId="0" type="noConversion"/>
  </si>
  <si>
    <t>整合主机货泵统计表</t>
    <phoneticPr fontId="0" type="noConversion"/>
  </si>
  <si>
    <t>不定,0.5h-3h</t>
    <phoneticPr fontId="0" type="noConversion"/>
  </si>
  <si>
    <t>2.5h</t>
    <phoneticPr fontId="0" type="noConversion"/>
  </si>
  <si>
    <t>0.5h</t>
    <phoneticPr fontId="0" type="noConversion"/>
  </si>
  <si>
    <t>不定，0.5h-2h</t>
    <phoneticPr fontId="0" type="noConversion"/>
  </si>
  <si>
    <t>不定,0.5-3h</t>
    <phoneticPr fontId="0" type="noConversion"/>
  </si>
  <si>
    <t>1h-1.5h</t>
    <phoneticPr fontId="0" type="noConversion"/>
  </si>
  <si>
    <t>2018-1-22,4h</t>
    <phoneticPr fontId="0" type="noConversion"/>
  </si>
  <si>
    <t>两岸航运业务申报</t>
    <phoneticPr fontId="0" type="noConversion"/>
  </si>
  <si>
    <t>0.5h</t>
    <phoneticPr fontId="0" type="noConversion"/>
  </si>
  <si>
    <t>DH1</t>
    <phoneticPr fontId="0" type="noConversion"/>
  </si>
  <si>
    <t>东莞</t>
    <phoneticPr fontId="0" type="noConversion"/>
  </si>
  <si>
    <t>广东省东莞市外轮代理有限公司</t>
    <phoneticPr fontId="0" type="noConversion"/>
  </si>
  <si>
    <t>DH2</t>
    <phoneticPr fontId="0" type="noConversion"/>
  </si>
  <si>
    <t>岚山-台中</t>
    <phoneticPr fontId="0" type="noConversion"/>
  </si>
  <si>
    <t>EAC</t>
    <phoneticPr fontId="0" type="noConversion"/>
  </si>
  <si>
    <t>L/S</t>
    <phoneticPr fontId="0" type="noConversion"/>
  </si>
  <si>
    <t>SINOGLORY MARINE CO.,LIMITED</t>
    <phoneticPr fontId="0" type="noConversion"/>
  </si>
  <si>
    <t>台中</t>
    <phoneticPr fontId="0" type="noConversion"/>
  </si>
  <si>
    <t>HENG YI SHIPPING AGENT CO.,LTD.</t>
  </si>
  <si>
    <t>麦寮</t>
    <phoneticPr fontId="0" type="noConversion"/>
  </si>
  <si>
    <t>茂名</t>
    <phoneticPr fontId="0" type="noConversion"/>
  </si>
  <si>
    <t>CHINA OCEAN SHIPPING AGENCY, MAOMING</t>
  </si>
  <si>
    <t>DH15</t>
    <phoneticPr fontId="0" type="noConversion"/>
  </si>
  <si>
    <t>南京</t>
    <phoneticPr fontId="0" type="noConversion"/>
  </si>
  <si>
    <t>RMB</t>
    <phoneticPr fontId="0" type="noConversion"/>
  </si>
  <si>
    <t>仪征</t>
    <phoneticPr fontId="0" type="noConversion"/>
  </si>
  <si>
    <t>南京油运船务代理有限公司</t>
  </si>
  <si>
    <t>扬子</t>
    <phoneticPr fontId="0" type="noConversion"/>
  </si>
  <si>
    <t>DH9</t>
    <phoneticPr fontId="0" type="noConversion"/>
  </si>
  <si>
    <r>
      <t>鼎衡-</t>
    </r>
    <r>
      <rPr>
        <sz val="11"/>
        <color theme="1"/>
        <rFont val="宋体"/>
        <family val="2"/>
        <charset val="134"/>
        <scheme val="minor"/>
      </rPr>
      <t>15</t>
    </r>
    <phoneticPr fontId="0" type="noConversion"/>
  </si>
  <si>
    <t>鼎衡-15</t>
    <phoneticPr fontId="0" type="noConversion"/>
  </si>
  <si>
    <t>C9</t>
    <phoneticPr fontId="0" type="noConversion"/>
  </si>
  <si>
    <t>C9</t>
    <phoneticPr fontId="0" type="noConversion"/>
  </si>
  <si>
    <t>序号</t>
    <phoneticPr fontId="0" type="noConversion"/>
  </si>
  <si>
    <t>船舶</t>
    <phoneticPr fontId="0" type="noConversion"/>
  </si>
  <si>
    <t>航次</t>
    <phoneticPr fontId="0" type="noConversion"/>
  </si>
  <si>
    <t>货名</t>
    <phoneticPr fontId="0" type="noConversion"/>
  </si>
  <si>
    <t>货量</t>
    <phoneticPr fontId="0" type="noConversion"/>
  </si>
  <si>
    <t>到港时间</t>
    <phoneticPr fontId="0" type="noConversion"/>
  </si>
  <si>
    <t>靠泊时间</t>
    <phoneticPr fontId="0" type="noConversion"/>
  </si>
  <si>
    <t>离港时间</t>
    <phoneticPr fontId="0" type="noConversion"/>
  </si>
  <si>
    <t>待泊时间</t>
    <phoneticPr fontId="0" type="noConversion"/>
  </si>
  <si>
    <t>开始装货</t>
    <phoneticPr fontId="0" type="noConversion"/>
  </si>
  <si>
    <t>结束装货</t>
    <phoneticPr fontId="0" type="noConversion"/>
  </si>
  <si>
    <t>装货时间</t>
    <phoneticPr fontId="0" type="noConversion"/>
  </si>
  <si>
    <t>装卸速率</t>
    <phoneticPr fontId="0" type="noConversion"/>
  </si>
  <si>
    <t>开始卸货</t>
    <phoneticPr fontId="0" type="noConversion"/>
  </si>
  <si>
    <t>结束卸货</t>
    <phoneticPr fontId="0" type="noConversion"/>
  </si>
  <si>
    <t>卸货时间</t>
    <phoneticPr fontId="0" type="noConversion"/>
  </si>
  <si>
    <t>卸货速率</t>
    <phoneticPr fontId="0" type="noConversion"/>
  </si>
  <si>
    <t>备注</t>
    <phoneticPr fontId="0" type="noConversion"/>
  </si>
  <si>
    <t>DH1</t>
    <phoneticPr fontId="0" type="noConversion"/>
  </si>
  <si>
    <t>漕泾</t>
    <phoneticPr fontId="0" type="noConversion"/>
  </si>
  <si>
    <t>上海沣淳</t>
    <phoneticPr fontId="0" type="noConversion"/>
  </si>
  <si>
    <t>营口</t>
    <phoneticPr fontId="0" type="noConversion"/>
  </si>
  <si>
    <t>营口双丰物流有限公司</t>
  </si>
  <si>
    <t>DH10</t>
    <phoneticPr fontId="0" type="noConversion"/>
  </si>
  <si>
    <t>珠海</t>
    <phoneticPr fontId="0" type="noConversion"/>
  </si>
  <si>
    <t>珠海中外运船务代理有限公司</t>
  </si>
  <si>
    <t>中国茂名外轮代理有限公司</t>
  </si>
  <si>
    <t>茂名</t>
  </si>
  <si>
    <t>DH15</t>
    <phoneticPr fontId="0" type="noConversion"/>
  </si>
  <si>
    <t>宁波</t>
    <phoneticPr fontId="0" type="noConversion"/>
  </si>
  <si>
    <t>DH5</t>
    <phoneticPr fontId="0" type="noConversion"/>
  </si>
  <si>
    <t>南通</t>
    <phoneticPr fontId="0" type="noConversion"/>
  </si>
  <si>
    <t>南通通盛国际船务代理有限公司</t>
  </si>
  <si>
    <t>镇江</t>
    <phoneticPr fontId="0" type="noConversion"/>
  </si>
  <si>
    <t>RMB</t>
    <phoneticPr fontId="0" type="noConversion"/>
  </si>
  <si>
    <t>镇江泓翔船务代理有限公司</t>
  </si>
  <si>
    <t>广东省东莞市外轮代理有限公司</t>
  </si>
  <si>
    <t>大山</t>
    <phoneticPr fontId="0" type="noConversion"/>
  </si>
  <si>
    <t>LION SHIPPING CORP.</t>
  </si>
  <si>
    <t>DH18</t>
    <phoneticPr fontId="0" type="noConversion"/>
  </si>
  <si>
    <t>港口</t>
    <phoneticPr fontId="0" type="noConversion"/>
  </si>
  <si>
    <t>码头</t>
    <phoneticPr fontId="0" type="noConversion"/>
  </si>
  <si>
    <t>泉州</t>
    <phoneticPr fontId="0" type="noConversion"/>
  </si>
  <si>
    <t>外走马埭</t>
    <phoneticPr fontId="0" type="noConversion"/>
  </si>
  <si>
    <t>东莞</t>
    <phoneticPr fontId="0" type="noConversion"/>
  </si>
  <si>
    <t>同舟</t>
    <phoneticPr fontId="0" type="noConversion"/>
  </si>
  <si>
    <t>南通</t>
    <phoneticPr fontId="0" type="noConversion"/>
  </si>
  <si>
    <t>chenghui</t>
    <phoneticPr fontId="0" type="noConversion"/>
  </si>
  <si>
    <t>漕泾</t>
    <phoneticPr fontId="0" type="noConversion"/>
  </si>
  <si>
    <t>孚宝</t>
  </si>
  <si>
    <t>泰州</t>
    <phoneticPr fontId="0" type="noConversion"/>
  </si>
  <si>
    <t>海企</t>
  </si>
  <si>
    <t>镇江</t>
    <phoneticPr fontId="0" type="noConversion"/>
  </si>
  <si>
    <t>李长荣</t>
    <phoneticPr fontId="0" type="noConversion"/>
  </si>
  <si>
    <t>如皋</t>
    <phoneticPr fontId="0" type="noConversion"/>
  </si>
  <si>
    <t>powershell</t>
    <phoneticPr fontId="0" type="noConversion"/>
  </si>
  <si>
    <t>安平</t>
    <phoneticPr fontId="0" type="noConversion"/>
  </si>
  <si>
    <t>齐美</t>
    <phoneticPr fontId="0" type="noConversion"/>
  </si>
  <si>
    <t>锚泊，等待靠泊指令</t>
    <phoneticPr fontId="0" type="noConversion"/>
  </si>
  <si>
    <t>DINGHENG2</t>
  </si>
  <si>
    <t>DINGHENG18</t>
  </si>
  <si>
    <t>JIAN XING 32</t>
  </si>
  <si>
    <t>YONG XIANG 29</t>
  </si>
  <si>
    <t>GOLDEN BRILLIANT</t>
  </si>
  <si>
    <t>HENG XIN</t>
  </si>
  <si>
    <t>ANGEL NO1</t>
  </si>
  <si>
    <t>ANGEL NO2</t>
  </si>
  <si>
    <t>ANGEL NO3</t>
  </si>
  <si>
    <t>ANGEL NO11</t>
  </si>
  <si>
    <t>DH EPOCH</t>
  </si>
  <si>
    <t>鼎衡1</t>
  </si>
  <si>
    <t>CCS</t>
  </si>
  <si>
    <t>中国</t>
  </si>
  <si>
    <t>鼎衡2</t>
  </si>
  <si>
    <t>香港</t>
  </si>
  <si>
    <t>鼎衡3</t>
  </si>
  <si>
    <t>鼎衡5</t>
  </si>
  <si>
    <t>鼎衡9</t>
  </si>
  <si>
    <t>鼎衡10</t>
  </si>
  <si>
    <t>Marineline</t>
  </si>
  <si>
    <t>鼎衡15</t>
  </si>
  <si>
    <t>鼎衡16</t>
  </si>
  <si>
    <t>鼎衡17</t>
  </si>
  <si>
    <t>鼎衡18</t>
  </si>
  <si>
    <t>建兴32</t>
  </si>
  <si>
    <t>ZC</t>
  </si>
  <si>
    <t>国际</t>
  </si>
  <si>
    <t>BV</t>
  </si>
  <si>
    <t>天使11</t>
  </si>
  <si>
    <t>鼎衡旗舰</t>
  </si>
  <si>
    <t>DUPLEX 2205</t>
  </si>
  <si>
    <t>ABS</t>
  </si>
  <si>
    <t>鼎衡新时代</t>
  </si>
  <si>
    <t>SHIP NAME</t>
  </si>
  <si>
    <t>船舶名称</t>
  </si>
  <si>
    <t>FLAG</t>
  </si>
  <si>
    <t>TYPE</t>
  </si>
  <si>
    <t>船型</t>
  </si>
  <si>
    <t>CLASS</t>
  </si>
  <si>
    <t>SDWT</t>
  </si>
  <si>
    <t>夏季吃水</t>
  </si>
  <si>
    <t>YEAR BUILT</t>
  </si>
  <si>
    <t>建造时间</t>
  </si>
  <si>
    <t>YARD</t>
  </si>
  <si>
    <t>造船厂</t>
  </si>
  <si>
    <t>DWT</t>
  </si>
  <si>
    <t>载重吨</t>
  </si>
  <si>
    <t>* VESSEL STATUS</t>
  </si>
  <si>
    <t>船舶状态</t>
  </si>
  <si>
    <t>chemical</t>
    <phoneticPr fontId="0" type="noConversion"/>
  </si>
  <si>
    <t>China</t>
    <phoneticPr fontId="0" type="noConversion"/>
  </si>
  <si>
    <t>Hongkong</t>
    <phoneticPr fontId="0" type="noConversion"/>
  </si>
  <si>
    <t>oil/chemical</t>
    <phoneticPr fontId="0" type="noConversion"/>
  </si>
  <si>
    <t>sdwt</t>
    <phoneticPr fontId="0" type="noConversion"/>
  </si>
  <si>
    <t>year</t>
    <phoneticPr fontId="0" type="noConversion"/>
  </si>
  <si>
    <t>yard</t>
    <phoneticPr fontId="0" type="noConversion"/>
  </si>
  <si>
    <t>dwt</t>
    <phoneticPr fontId="0" type="noConversion"/>
  </si>
  <si>
    <t>DINGHENG 1</t>
  </si>
  <si>
    <t>DINGHENG 1</t>
    <phoneticPr fontId="0" type="noConversion"/>
  </si>
  <si>
    <t>Zhoushan Dingheng Shipbuilding Co., Ltd</t>
  </si>
  <si>
    <t>Dingheng shipbuilding Co., LTd</t>
  </si>
  <si>
    <t>Nantong tongbao Shipbuilding Co.,Ltd.,China</t>
  </si>
  <si>
    <t>Ningbo Zhenhe shipbuilding Co., LTd</t>
  </si>
  <si>
    <t>shengjiamen shipbuilding co., ltd, putuo region , zhoushan capital , china .</t>
  </si>
  <si>
    <t xml:space="preserve">LIUHENG DONGPENG SHIPYARD </t>
  </si>
  <si>
    <t>LAN TIAN Shipyard  Ltd,CHINA</t>
  </si>
  <si>
    <t>Zhoushan Dingheng Shipyard</t>
  </si>
  <si>
    <t>Dingheng 3</t>
  </si>
  <si>
    <t>Dingheng 5</t>
  </si>
  <si>
    <t>Dingheng 9</t>
  </si>
  <si>
    <t>Dingheng 10</t>
  </si>
  <si>
    <t>Dingheng 15</t>
  </si>
  <si>
    <t>Dingheng 16</t>
  </si>
  <si>
    <t>Dingheng 17</t>
  </si>
  <si>
    <t>连云港</t>
    <phoneticPr fontId="0" type="noConversion"/>
  </si>
  <si>
    <t>新荣泰</t>
    <phoneticPr fontId="0" type="noConversion"/>
  </si>
  <si>
    <t>DH10</t>
    <phoneticPr fontId="0" type="noConversion"/>
  </si>
  <si>
    <t>sondong</t>
    <phoneticPr fontId="0" type="noConversion"/>
  </si>
  <si>
    <t>USD</t>
    <phoneticPr fontId="0" type="noConversion"/>
  </si>
  <si>
    <t>HOYER TRANSPORT VIET NAM CO.,LTD</t>
  </si>
  <si>
    <t>DH5</t>
    <phoneticPr fontId="0" type="noConversion"/>
  </si>
  <si>
    <t>镇江</t>
    <phoneticPr fontId="0" type="noConversion"/>
  </si>
  <si>
    <t>RMB</t>
    <phoneticPr fontId="0" type="noConversion"/>
  </si>
  <si>
    <t>DH5</t>
    <phoneticPr fontId="0" type="noConversion"/>
  </si>
  <si>
    <t>张家港</t>
    <phoneticPr fontId="0" type="noConversion"/>
  </si>
  <si>
    <t>中国张家港外轮代理有限公司</t>
  </si>
  <si>
    <t>抛锚等待靠泊时间</t>
    <phoneticPr fontId="21" type="noConversion"/>
  </si>
  <si>
    <t>办手续、验舱、接管和装货前准备时间</t>
    <phoneticPr fontId="21" type="noConversion"/>
  </si>
  <si>
    <t>纯装货时间</t>
    <phoneticPr fontId="21" type="noConversion"/>
  </si>
  <si>
    <t>办手续，量舱，拆管和等待离泊时间</t>
    <phoneticPr fontId="21" type="noConversion"/>
  </si>
  <si>
    <t>办手续、量舱、接管和卸货前准备时间</t>
    <phoneticPr fontId="21" type="noConversion"/>
  </si>
  <si>
    <t>纯卸货时间</t>
    <phoneticPr fontId="21" type="noConversion"/>
  </si>
  <si>
    <t>办手续、验舱、拆管和等待离泊时间</t>
    <phoneticPr fontId="21" type="noConversion"/>
  </si>
  <si>
    <t>停泵换岸罐（150N）</t>
    <phoneticPr fontId="21" type="noConversion"/>
  </si>
  <si>
    <t>换管线，收舱</t>
  </si>
  <si>
    <t>锚泊备舱</t>
    <phoneticPr fontId="0" type="noConversion"/>
  </si>
  <si>
    <t>OLEIN</t>
  </si>
  <si>
    <t>CPO</t>
  </si>
  <si>
    <t>m3</t>
    <phoneticPr fontId="0" type="noConversion"/>
  </si>
  <si>
    <t>m3/h</t>
    <phoneticPr fontId="0" type="noConversion"/>
  </si>
  <si>
    <t>hour</t>
    <phoneticPr fontId="0" type="noConversion"/>
  </si>
  <si>
    <t>青菜</t>
    <phoneticPr fontId="23" type="noConversion"/>
  </si>
  <si>
    <t>小瓜</t>
    <phoneticPr fontId="23" type="noConversion"/>
  </si>
  <si>
    <t>丝瓜</t>
    <phoneticPr fontId="23" type="noConversion"/>
  </si>
  <si>
    <t>番茄</t>
    <phoneticPr fontId="23" type="noConversion"/>
  </si>
  <si>
    <t>土豆</t>
    <phoneticPr fontId="23" type="noConversion"/>
  </si>
  <si>
    <t>青椒</t>
    <phoneticPr fontId="23" type="noConversion"/>
  </si>
  <si>
    <t>茄子</t>
    <phoneticPr fontId="23" type="noConversion"/>
  </si>
  <si>
    <t>冬瓜</t>
    <phoneticPr fontId="23" type="noConversion"/>
  </si>
  <si>
    <t>小排</t>
    <phoneticPr fontId="23" type="noConversion"/>
  </si>
  <si>
    <t>肉片</t>
    <phoneticPr fontId="23" type="noConversion"/>
  </si>
  <si>
    <t>肉丝</t>
    <phoneticPr fontId="23" type="noConversion"/>
  </si>
  <si>
    <t>鸡腿</t>
    <phoneticPr fontId="23" type="noConversion"/>
  </si>
  <si>
    <t>鸡翅</t>
    <phoneticPr fontId="23" type="noConversion"/>
  </si>
  <si>
    <t>牛肉</t>
    <phoneticPr fontId="23" type="noConversion"/>
  </si>
  <si>
    <t>鸡蛋</t>
    <phoneticPr fontId="23" type="noConversion"/>
  </si>
  <si>
    <t>虾</t>
    <phoneticPr fontId="23" type="noConversion"/>
  </si>
  <si>
    <t>带鱼</t>
    <phoneticPr fontId="23" type="noConversion"/>
  </si>
  <si>
    <t>jan</t>
  </si>
  <si>
    <t>jan</t>
    <phoneticPr fontId="0" type="noConversion"/>
  </si>
  <si>
    <t>feb</t>
    <phoneticPr fontId="0" type="noConversion"/>
  </si>
  <si>
    <t>mar</t>
  </si>
  <si>
    <t>apr</t>
  </si>
  <si>
    <t>may</t>
  </si>
  <si>
    <t>jun</t>
  </si>
  <si>
    <t>jul</t>
  </si>
  <si>
    <t>aug</t>
  </si>
  <si>
    <t>sep</t>
  </si>
  <si>
    <t>oct</t>
  </si>
  <si>
    <t>nov</t>
  </si>
  <si>
    <t>dec</t>
  </si>
  <si>
    <t>大家好！</t>
  </si>
  <si>
    <t>鼎衡5轮：开往上海外高桥宝钢码头，ETA 2000LT/17TH，码头不拥堵，预计直靠【主机转速：470，航速10.4，负荷71.75%】；</t>
  </si>
  <si>
    <t>鼎衡9轮：靠泊麦寮装货，0655LT/14TH取样一英尺，0950LT/14TH一英尺化验通过，0955LT/14TH开始正常装货，装货动态稍后上报；</t>
  </si>
  <si>
    <t>鼎衡10轮：锚泊天津危险品锚地等待靠泊，目前雾霾封港，预计15TH上午靠泊【关注备舱/验舱情况】；</t>
  </si>
  <si>
    <t>鼎衡15：锚泊南京备舱，等待泊位清爽后靠泊，预计靠泊15TH上午【关注备舱】。</t>
  </si>
  <si>
    <t>祝愉快！</t>
  </si>
  <si>
    <t>鼎衡1轮：锚泊漕泾危险品锚地，压港，DIAMOND CORAL离泊计划可能延误，我轮有机会15号上午排在GAS LOTUS提前靠泊漕泾卸货。</t>
  </si>
  <si>
    <t>鼎衡2轮：0930LT宁波台塑码头卸完货，预计1600LT/14TH潮水离泊，下一港高雄。</t>
  </si>
  <si>
    <t>鼎衡16轮：锚泊马峙锚地，宁波台塑堵港，最快预计16号靠泊台塑码头装货，油料部安排锚地收不合格重油；</t>
  </si>
  <si>
    <t>鼎衡18轮：南通华洋码头完货，等待商检验舱计量中，预计1030LT/14TH离泊，开往外海洗舱，下一港常熟。</t>
  </si>
  <si>
    <t>大家好</t>
  </si>
  <si>
    <t>鼎衡-17:   开往小虎岛，ETA:1700-14-03，码头外轮优先，请了租家沟通码头，以缺货为由争取到我轮15号靠泊计划在丰帆27前靠泊，但前提条件是我轮要在今天1200前赶到桂山锚地，目前船上联系不上，稍后跟踪此事，请有关部门给予关注【航速：10.7节，主机转速521，主机负荷：85%】</t>
  </si>
  <si>
    <t>鼎衡3： 昨天1200抛锚连云港锚地，在等自提租家签合同流程，未执行经济航速（昨天斯尔邦消息说有可能给鼎衡3换航次，如果换的话就是正常靠泊，故未使用经济航速）</t>
  </si>
  <si>
    <t>建兴32： 惠州锚地抛锚中，等待收货人货款打给租家（壳牌不收到货款不让装货），目前计划16号靠泊</t>
  </si>
  <si>
    <t>鼎衡1轮：0730LT/13RD锚泊漕泾危险品锚地，压港，预计16号靠泊漕泾华盛码头卸货。</t>
  </si>
  <si>
    <t>鼎衡2轮：锚泊马峙锚地，预计1630LT/13RD靠泊宁波台塑码头卸货。</t>
  </si>
  <si>
    <t>鼎衡16轮：马峙锚地补充淡水，预计1100LT/13RD起锚，外海洗舱，预计0200LT/14TH返回宁波待泊，台塑码头靠泊计划尚未排出；</t>
  </si>
  <si>
    <t>鼎衡18轮：开往南通，ETA1300LT/13RD，预计1800LT/13RD靠泊南通华洋码头卸货【长江机动航行】</t>
  </si>
  <si>
    <t>鼎衡-17:   开往小虎岛，ETA:1700-14-03，码头外轮优先，请了租家沟通码头，以缺货为由争取到我轮15号靠泊计划在丰帆27前靠泊【航速：13.1节，主机转速518，主机负荷：83.54%】</t>
  </si>
  <si>
    <t>鼎衡3： 开往连云港，ETA:1230-13-03沟通了码头把东茂2安排到了131泊位，昨天下午133泊位进双龙海，我们鼎衡3今天下午有机会靠【航速12.5节，主机转速498，主机负荷：87.84%】</t>
  </si>
  <si>
    <t>建兴32：今早0845离清中山，开往惠州，ETA2200-13-03，靠泊计划正在确认，下午出【暂未定速】</t>
  </si>
  <si>
    <t>鼎衡5轮：湛江宝钢码头等待潮水离泊中，预计开航1000LT/13TH，下一港上海外高桥宝钢码头，ETA17TH【关注离泊安全】；</t>
  </si>
  <si>
    <t>鼎衡9轮：1020LT/11TH抵港麦寮抛锚备舱，预计靠泊2300LT/13TH【关注舱壁试验】；</t>
  </si>
  <si>
    <t>鼎衡10轮：锚泊天津危险品锚地等待靠泊，目前大雾封航，靠泊计划待定，预计15TH靠泊【关注备舱/验舱情况】；</t>
  </si>
  <si>
    <t>鼎衡15：锚泊南京备舱，等待泊位清爽后靠泊，预计14TH上午靠泊【关注备舱】。</t>
  </si>
  <si>
    <t>鼎衡-17:  开往小虎岛，ETA:1700-14-03，靠泊计划待定【阴天多云，风力5级，能见度7，航速10.7节，主机转速500，主机负荷:75.13%】</t>
  </si>
  <si>
    <t>鼎衡3:今早0652离清码头，暂未定速，开往连云港ETA:1600-13-03，泊位有船舶作业，我轮前还有一条外轮，靠泊计划沟通中</t>
  </si>
  <si>
    <t>建兴32：中山锚地抛锚中，预计中午接靠前轮</t>
  </si>
  <si>
    <t>鼎衡5轮：靠泊湛江宝钢码头装货中，装货动态已经上报，预计完货1230LT/12TH，预计开航1400LT/12TH，下一港上海外高桥宝钢码头【关注离泊安全】；</t>
  </si>
  <si>
    <t>鼎衡9轮：1020LT/11TH抵港麦寮抛锚备舱，预计靠泊0830LT/13TH，具体时间今天 上午码头排班会议后确定【关注舱壁试验】；</t>
  </si>
  <si>
    <t>鼎衡10轮：0500T/12TH在天津锚地由于业务需要提前递交NOR锁定泊位，预计13TH靠泊天津Vopak，今天中午确定具体靠泊时间【关注备舱/验舱情况】；</t>
  </si>
  <si>
    <t>鼎衡15：开往南京，ETA 1230LT/12TH，锚地洗舱后靠泊南京扬子巴斯夫，靠泊计划下午确定【长江航行，机动状态，关注洗舱备舱状况】。</t>
  </si>
  <si>
    <t>鼎衡1轮：开往漕泾，ETA0600LT/13RD，码头船多压港，预计等泊时间较长【主机转速560，负荷73%，航速9节】。</t>
  </si>
  <si>
    <t>鼎衡2轮：锚泊马峙锚地，锚地压港船众多，调度调整泊位，预计13号傍晚潮水靠泊。</t>
  </si>
  <si>
    <t>鼎衡16轮：锚泊东霍山3号锚地，预计1530LT/12ND接靠SC SUMMER卸货；</t>
  </si>
  <si>
    <t>鼎衡18轮：开往南通，ETA1700LT/13RD，码头正在开调度会议，靠泊计划稍后排出【主机转速500（风浪大），负荷75.15%，航速10节】</t>
  </si>
  <si>
    <t>鼎衡1轮：0855LT/09TH离泊天津思多而特，预计1030LT/09TH大沽口散化锚地抛锚加油，预计0800LT/12ND抵达漕泾。</t>
  </si>
  <si>
    <t>鼎衡2轮：锚泊宁波锚地，0820LT/09TH宁波港解封，压港严重，最快12号靠泊宁波台塑码头卸货;</t>
  </si>
  <si>
    <t>鼎衡16轮：锚泊东霍山3号锚地，利万聚酯堵港，前面有两条外轮，预计12号靠泊宁波利万聚酯码头卸货；</t>
  </si>
  <si>
    <t>鼎衡18轮：开往南通，ETA1200LT/12ND【主机转速475（风浪原因），负荷65%，航速8.5节】</t>
  </si>
  <si>
    <t>鼎衡1轮：天津思多而特码头装货中，速率100吨/时（码头管线细），预计2200LT/08TH，夜航限制，ETD0700LT/09TH，下一港漕泾。</t>
  </si>
  <si>
    <t>鼎衡2轮：开往宁波，ETA0100LT/09TH，宁波今日早上0700大风封港，预计9号解封，码头较拥堵【主机转速470，负荷73%，航速8.7节】;</t>
  </si>
  <si>
    <t>鼎衡16轮：0840LT/08TH锚泊东霍山3号锚地，宁波大风封港中，码头较拥堵，靠泊计划待解封后确定；</t>
  </si>
  <si>
    <t>鼎衡18轮：锚泊惠州东联锚地，备舱中，预计1200LT/08TH备妥，靠泊惠州欧德码头装货。</t>
  </si>
  <si>
    <t>鼎衡5：开往珠海，0200LT/08TH抵港后由于大风靠泊作业暂停，风力见减小后第一条靠泊；</t>
  </si>
  <si>
    <t>鼎衡9轮：开往高雄，ETA 0900LT/09TH，港口拥堵，先抵港排队【主机转速：910，航速：9.8，负荷：75.36%，大风浪航行】；</t>
  </si>
  <si>
    <t>鼎衡10轮：开往天津STOLT，ETA0600LT/09TH，目前预报抵港直靠【主机转速：498，航速9.9节，负荷85.35%】；</t>
  </si>
  <si>
    <t>鼎衡15：开往张家港，业务部疏港后1800LT/08TH抵港直靠【长江航行，机动状态，C9换舱壁试验MMA】。</t>
  </si>
  <si>
    <t xml:space="preserve"> 大家好</t>
  </si>
  <si>
    <t>鼎衡-17:  张家港锚地抛锚中，预计下午1300靠泊。</t>
  </si>
  <si>
    <t>鼎衡3： 宁波镇海码头等泊中，7-9号宁波封港，镇海靠泊计划9号，正在协调青峙靠泊计划。</t>
  </si>
  <si>
    <t>建兴32：惠州锚地已起锚，开往2号泊位靠泊。</t>
  </si>
  <si>
    <t>鼎衡1轮：锚泊天津锚地，预计1000LT/07TH起锚进港靠泊天津思多而特码头装货。</t>
  </si>
  <si>
    <t>鼎衡2轮：0630LT/07TH离泊麦寮，开往宁波，ETA2200LT/08TH，预计8~9号宁波有大风天气封港，较拥堵【主机转速470，负荷73%，航速12.2节】;</t>
  </si>
  <si>
    <t>鼎衡16轮：0530LT/07TH离泊南京，开往宁波，ETA1200LT/08TH，若天气允许排9号靠泊宁波利万聚酯码头卸货【长江机动航行】；</t>
  </si>
  <si>
    <t>鼎衡18轮：珠海正常卸货中，预计1000LT/07TH完货，预计1200LT/07TH离泊，下一港惠州，预计8号备妥舱直靠惠州欧德装货。</t>
  </si>
  <si>
    <t>鼎衡5：开往珠海，ETA 0200LT/08TH，先抵港，早晨靠泊【主机转速：450，航速：11.4，负荷：62.97%，大风浪航行】；</t>
  </si>
  <si>
    <t>鼎衡9轮：开往高雄，ETA 0500LT/09TH，靠泊计划确认中【主机转速：910，航速：8.7，负荷：75.36%，大风浪航行】；</t>
  </si>
  <si>
    <t>鼎衡10轮：开往天津STOLT，ETA0700LT/09TH，目前预报抵港直靠【主机转速：498，航速，11.0节，负荷85.35%】；</t>
  </si>
  <si>
    <t>鼎衡15：靠泊镇海13#泊位，等待潮水离泊，预计1315LT/07TH开航，下一港张家港【下航次张家港MMA需要舱壁试验】。</t>
  </si>
  <si>
    <t>鼎衡1轮：锚泊天津锚地，因码头外贸船史丹那维克崔进预计1600LT/06TH离泊位，海事边防下班我轮无法靠泊完成转内贸，码头安排0800LT/07TH靠泊装货。</t>
  </si>
  <si>
    <t>鼎衡2轮：0730LT/06TH靠妥麦寮E9泊位，待验舱通过后装货，后续关注装货动态。</t>
  </si>
  <si>
    <t>鼎衡16轮：0930LT/06TH起锚前往靠泊南京扬子12泊位，预计1130LT/06TH靠妥【船舶进港，机动航行】；</t>
  </si>
  <si>
    <t>鼎衡18轮：开往珠海，进港靠泊珠海中化隔离码头，预计1030LT/06TH靠妥【船舶进港，机动航行】</t>
  </si>
  <si>
    <t>鼎衡-17: 长江口抛锚中，预计下午南通锚地加油，明天中午靠泊张家港。</t>
  </si>
  <si>
    <t>鼎衡3： 开往宁波，ETA:0400-07-03直靠镇海码头，下一港青峙【航速12.1节，主机转速：465大风浪，主机负荷：75.13%】</t>
  </si>
  <si>
    <t>建兴32：开往惠州,ETA:1800-06-03预计7-8号靠泊，租家正在协调中【经济航速航行，航速：11节，主机转速:450，主机负荷：42.19%】</t>
  </si>
  <si>
    <t>鼎衡1轮：船舶横摇严重，锚泊长山水道避风，天津思多而特今天已经解封，如我轮顺利到达6靠泊计划【特别关注：烦请各部门关注锚泊安全，海况转好即刻起锚开往天津靠泊】</t>
  </si>
  <si>
    <t>鼎衡2轮：开往麦廖，ETA0430LT/06TH，麦寮暂不拥堵，具体靠泊时间下午排出【主机转速470，负荷73%，航速11.1节】；</t>
  </si>
  <si>
    <t>鼎衡16轮：锚泊南京栖霞锚地，1600LT/03RD备舱妥，已递交NOR，货物预计今天备妥，预计最快6号靠泊南京扬子码头装货；</t>
  </si>
  <si>
    <t>鼎衡18轮：开往珠海，ETA1000LT/06TH，预计直靠珠海中化格力码头卸货【主机转速521，负荷85%，航速9.5节】</t>
  </si>
  <si>
    <t>鼎衡-17: 乍浦锚地抛锚中，原计划昨天直靠，因泊位上船作业速率慢，推迟至今早0930离泊，我轮1030接靠。</t>
  </si>
  <si>
    <t>鼎衡3： 连云港已完货，昨天因码头大风封港无法离泊，今早已解封，我轮0930离泊，开往镇海。</t>
  </si>
  <si>
    <t>建兴32：开往惠州，海上大雾，各部门安全领导已对船上做过指示。【经济航速航行，航速：9.1节，主机转速：450转，主机负荷：42.19%】</t>
  </si>
  <si>
    <t>鼎衡5：麦寮抛锚备舱中，0800LT/05TH由于和竞争船竞争泊位需要，NOR提前递交，目前暂排1200LT/05TH POB，但是目前麦寮能见度不良，具体届时由引水决定靠泊时机【特备关注麦寮靠泊后验舱事宜，E7-3装基础油】；</t>
  </si>
  <si>
    <t>鼎衡9轮：开往茂名，ETA 1400LT/05TH，目前调度正在开调度会议，靠泊计划上午确定，目前船报NOR 1800LT/05TH【主机转速：930，航速,11.7节，负荷80.50%】【基础油换化学品，特别关注备舱和茂名靠泊安全】；</t>
  </si>
  <si>
    <t>鼎衡10轮：开往天津STOLT，ETA0300LT/09TH，目前预报抵港直靠【主机转速：498，航速,12.3节，负荷85.35%】；</t>
  </si>
  <si>
    <t>鼎衡15：开往镇海，ETA1500LT/05TH，预计靠泊07TH，疏港中【金山航道，机动状态】。</t>
  </si>
  <si>
    <t>鼎衡1轮：海上风浪大，横摇严重，长山水道抛锚避风，待风力减弱起锚开往天津，天津斯多而特码头已因大风封港。</t>
  </si>
  <si>
    <t>鼎衡2轮：开往麦廖，ETA0430LT/06TH【主机转速470，负荷73%，航速11.3节】；</t>
  </si>
  <si>
    <t>鼎衡16轮：锚泊南京栖霞锚地，1600LT/03RD备舱妥，已递交NOR，因货物尚未备妥，预计最快6号靠泊南京扬子码头装货；</t>
  </si>
  <si>
    <t>鼎衡18轮：开往珠海，ETA0700LT/06TH【主机转速490（大风浪），负荷70.71%，航速8.3节】</t>
  </si>
  <si>
    <t>洋葱</t>
    <phoneticPr fontId="23" type="noConversion"/>
  </si>
  <si>
    <t>DH1</t>
  </si>
  <si>
    <t>张素鸿</t>
    <phoneticPr fontId="21" type="noConversion"/>
  </si>
  <si>
    <t>郭兆兵</t>
    <phoneticPr fontId="21" type="noConversion"/>
  </si>
  <si>
    <t>常熟</t>
    <phoneticPr fontId="21" type="noConversion"/>
  </si>
  <si>
    <t>DH2</t>
  </si>
  <si>
    <t>DH3</t>
  </si>
  <si>
    <t>DH5</t>
  </si>
  <si>
    <t>DH9</t>
  </si>
  <si>
    <t>DH10</t>
  </si>
  <si>
    <t>预计抵达漕泾 16号1300LT</t>
  </si>
  <si>
    <t>DH17</t>
  </si>
  <si>
    <t>泉州</t>
    <phoneticPr fontId="21" type="noConversion"/>
  </si>
  <si>
    <t>开往常熟</t>
    <phoneticPr fontId="21" type="noConversion"/>
  </si>
  <si>
    <t>预计抵达长江口 16号1530LT</t>
    <phoneticPr fontId="21" type="noConversion"/>
  </si>
  <si>
    <t>连云港-蔚山</t>
    <phoneticPr fontId="21" type="noConversion"/>
  </si>
  <si>
    <t>孙利</t>
    <phoneticPr fontId="21" type="noConversion"/>
  </si>
  <si>
    <t>江啸</t>
    <phoneticPr fontId="21" type="noConversion"/>
  </si>
  <si>
    <t>高雄</t>
    <phoneticPr fontId="21" type="noConversion"/>
  </si>
  <si>
    <t>漕泾</t>
    <phoneticPr fontId="21" type="noConversion"/>
  </si>
  <si>
    <t>开往高雄</t>
    <phoneticPr fontId="21" type="noConversion"/>
  </si>
  <si>
    <t>预计抵达高雄 16号1400LT</t>
    <phoneticPr fontId="21" type="noConversion"/>
  </si>
  <si>
    <t>高雄-常熟+江阴</t>
    <phoneticPr fontId="21" type="noConversion"/>
  </si>
  <si>
    <t>陆红桥</t>
    <phoneticPr fontId="21" type="noConversion"/>
  </si>
  <si>
    <t>陈良干</t>
    <phoneticPr fontId="21" type="noConversion"/>
  </si>
  <si>
    <t>连云港</t>
    <phoneticPr fontId="21" type="noConversion"/>
  </si>
  <si>
    <t>天津</t>
    <phoneticPr fontId="21" type="noConversion"/>
  </si>
  <si>
    <t>锚泊连云港</t>
    <phoneticPr fontId="21" type="noConversion"/>
  </si>
  <si>
    <t>预计靠泊连云港时间待定</t>
    <phoneticPr fontId="21" type="noConversion"/>
  </si>
  <si>
    <t>连云港-营口</t>
    <phoneticPr fontId="21" type="noConversion"/>
  </si>
  <si>
    <t>程建国</t>
    <phoneticPr fontId="21" type="noConversion"/>
  </si>
  <si>
    <t>徐德锋</t>
    <phoneticPr fontId="21" type="noConversion"/>
  </si>
  <si>
    <t>湛江</t>
    <phoneticPr fontId="21" type="noConversion"/>
  </si>
  <si>
    <t>上海</t>
    <phoneticPr fontId="21" type="noConversion"/>
  </si>
  <si>
    <t>开往上海</t>
    <phoneticPr fontId="21" type="noConversion"/>
  </si>
  <si>
    <t>预计抵达上海 17号1200LT</t>
    <phoneticPr fontId="21" type="noConversion"/>
  </si>
  <si>
    <t>麦寮-小虎岛</t>
    <phoneticPr fontId="21" type="noConversion"/>
  </si>
  <si>
    <t>冯仕清</t>
    <phoneticPr fontId="21" type="noConversion"/>
  </si>
  <si>
    <t>闵雪惠</t>
    <phoneticPr fontId="21" type="noConversion"/>
  </si>
  <si>
    <t>麦寮</t>
    <phoneticPr fontId="21" type="noConversion"/>
  </si>
  <si>
    <t>珠海</t>
    <phoneticPr fontId="21" type="noConversion"/>
  </si>
  <si>
    <t>开往珠海</t>
    <phoneticPr fontId="21" type="noConversion"/>
  </si>
  <si>
    <t>预计抵达珠海 17号0800LT</t>
    <phoneticPr fontId="21" type="noConversion"/>
  </si>
  <si>
    <t>麦寮-天津</t>
    <phoneticPr fontId="21" type="noConversion"/>
  </si>
  <si>
    <t>丁春旭</t>
    <phoneticPr fontId="21" type="noConversion"/>
  </si>
  <si>
    <t>谢金祥</t>
    <phoneticPr fontId="21" type="noConversion"/>
  </si>
  <si>
    <t>东莞</t>
    <phoneticPr fontId="21" type="noConversion"/>
  </si>
  <si>
    <t>天津加油</t>
    <phoneticPr fontId="21" type="noConversion"/>
  </si>
  <si>
    <t>麦寮-南通</t>
    <phoneticPr fontId="21" type="noConversion"/>
  </si>
  <si>
    <t>DH15</t>
    <phoneticPr fontId="21" type="noConversion"/>
  </si>
  <si>
    <t>许铭</t>
    <phoneticPr fontId="21" type="noConversion"/>
  </si>
  <si>
    <t>余龙权</t>
    <phoneticPr fontId="21" type="noConversion"/>
  </si>
  <si>
    <t>南京</t>
    <phoneticPr fontId="21" type="noConversion"/>
  </si>
  <si>
    <t>仪征</t>
    <phoneticPr fontId="21" type="noConversion"/>
  </si>
  <si>
    <t>开往仪征</t>
    <phoneticPr fontId="21" type="noConversion"/>
  </si>
  <si>
    <t>预计抵达仪征 16号1200LT</t>
    <phoneticPr fontId="21" type="noConversion"/>
  </si>
  <si>
    <t>常熟-漕泾</t>
    <phoneticPr fontId="21" type="noConversion"/>
  </si>
  <si>
    <t>DH16</t>
    <phoneticPr fontId="21" type="noConversion"/>
  </si>
  <si>
    <t>涂政武</t>
    <phoneticPr fontId="21" type="noConversion"/>
  </si>
  <si>
    <t>彭海余</t>
    <phoneticPr fontId="21" type="noConversion"/>
  </si>
  <si>
    <t>宁波</t>
    <phoneticPr fontId="21" type="noConversion"/>
  </si>
  <si>
    <t>开往漕泾</t>
    <phoneticPr fontId="21" type="noConversion"/>
  </si>
  <si>
    <t>漕泾-镇江</t>
    <phoneticPr fontId="21" type="noConversion"/>
  </si>
  <si>
    <t>任国兵</t>
    <phoneticPr fontId="21" type="noConversion"/>
  </si>
  <si>
    <t>孙涛</t>
    <phoneticPr fontId="21" type="noConversion"/>
  </si>
  <si>
    <t>惠州</t>
    <phoneticPr fontId="21" type="noConversion"/>
  </si>
  <si>
    <t>锚泊惠州</t>
    <phoneticPr fontId="21" type="noConversion"/>
  </si>
  <si>
    <t>预计靠泊惠州 16号1800LT</t>
    <phoneticPr fontId="21" type="noConversion"/>
  </si>
  <si>
    <t>DH18</t>
    <phoneticPr fontId="21" type="noConversion"/>
  </si>
  <si>
    <t>黄勇</t>
    <phoneticPr fontId="21" type="noConversion"/>
  </si>
  <si>
    <t>黄金军</t>
    <phoneticPr fontId="21" type="noConversion"/>
  </si>
  <si>
    <t>台中</t>
    <phoneticPr fontId="21" type="noConversion"/>
  </si>
  <si>
    <t>预计抵达常熟 16号1400LT</t>
    <phoneticPr fontId="21" type="noConversion"/>
  </si>
  <si>
    <t>高雄-南通</t>
    <phoneticPr fontId="21" type="noConversion"/>
  </si>
  <si>
    <t>JX32</t>
    <phoneticPr fontId="21" type="noConversion"/>
  </si>
  <si>
    <t>李粉良</t>
    <phoneticPr fontId="21" type="noConversion"/>
  </si>
  <si>
    <t>李志伟</t>
    <phoneticPr fontId="21" type="noConversion"/>
  </si>
  <si>
    <t>靠泊惠州</t>
    <phoneticPr fontId="21" type="noConversion"/>
  </si>
  <si>
    <t>惠州-泉州</t>
    <phoneticPr fontId="21" type="noConversion"/>
  </si>
  <si>
    <t>HX</t>
    <phoneticPr fontId="21" type="noConversion"/>
  </si>
  <si>
    <t>柳彬</t>
    <phoneticPr fontId="21" type="noConversion"/>
  </si>
  <si>
    <t>李郁庆</t>
    <phoneticPr fontId="21" type="noConversion"/>
  </si>
  <si>
    <t>马来西亚居茶+民都鲁</t>
    <phoneticPr fontId="21" type="noConversion"/>
  </si>
  <si>
    <t>南沙+惠州+高雄+江阴+南通</t>
    <phoneticPr fontId="21" type="noConversion"/>
  </si>
  <si>
    <t>开往惠州</t>
    <phoneticPr fontId="21" type="noConversion"/>
  </si>
  <si>
    <t>预计抵达惠州 18号2300LT</t>
    <phoneticPr fontId="21" type="noConversion"/>
  </si>
  <si>
    <t>AG1</t>
    <phoneticPr fontId="21" type="noConversion"/>
  </si>
  <si>
    <t>郝跃</t>
    <phoneticPr fontId="21" type="noConversion"/>
  </si>
  <si>
    <t>申常迁</t>
    <phoneticPr fontId="21" type="noConversion"/>
  </si>
  <si>
    <t>大山</t>
    <phoneticPr fontId="21" type="noConversion"/>
  </si>
  <si>
    <t>张家港</t>
    <phoneticPr fontId="21" type="noConversion"/>
  </si>
  <si>
    <t>锚泊大山</t>
    <phoneticPr fontId="21" type="noConversion"/>
  </si>
  <si>
    <t>AG2</t>
    <phoneticPr fontId="21" type="noConversion"/>
  </si>
  <si>
    <t>连重绪</t>
    <phoneticPr fontId="21" type="noConversion"/>
  </si>
  <si>
    <t>卢军桃</t>
    <phoneticPr fontId="21" type="noConversion"/>
  </si>
  <si>
    <t>江阴+常熟</t>
    <phoneticPr fontId="21" type="noConversion"/>
  </si>
  <si>
    <t>苏腊巴亚+孔雀港</t>
    <phoneticPr fontId="21" type="noConversion"/>
  </si>
  <si>
    <t>开往苏腊巴亚</t>
    <phoneticPr fontId="21" type="noConversion"/>
  </si>
  <si>
    <t>预计抵达印尼 22号0600LT</t>
    <phoneticPr fontId="21" type="noConversion"/>
  </si>
  <si>
    <t>AG3</t>
    <phoneticPr fontId="21" type="noConversion"/>
  </si>
  <si>
    <t>李孝才</t>
    <phoneticPr fontId="21" type="noConversion"/>
  </si>
  <si>
    <t>龚刚勇</t>
    <phoneticPr fontId="21" type="noConversion"/>
  </si>
  <si>
    <t>青岛</t>
    <phoneticPr fontId="21" type="noConversion"/>
  </si>
  <si>
    <t>龙眼维护</t>
    <phoneticPr fontId="21" type="noConversion"/>
  </si>
  <si>
    <t>预计抵达大山 20号-21号</t>
    <phoneticPr fontId="21" type="noConversion"/>
  </si>
  <si>
    <t>AG11</t>
    <phoneticPr fontId="21" type="noConversion"/>
  </si>
  <si>
    <t>周东明</t>
    <phoneticPr fontId="21" type="noConversion"/>
  </si>
  <si>
    <t>官德辉</t>
    <phoneticPr fontId="21" type="noConversion"/>
  </si>
  <si>
    <t>伊朗</t>
    <phoneticPr fontId="21" type="noConversion"/>
  </si>
  <si>
    <t>仪征+张家港</t>
    <phoneticPr fontId="21" type="noConversion"/>
  </si>
  <si>
    <t>预计抵达仪征 24号-25号</t>
    <phoneticPr fontId="21" type="noConversion"/>
  </si>
  <si>
    <t>DHE</t>
    <phoneticPr fontId="21" type="noConversion"/>
  </si>
  <si>
    <t>汪振如</t>
    <phoneticPr fontId="21" type="noConversion"/>
  </si>
  <si>
    <t>杨仕林</t>
    <phoneticPr fontId="21" type="noConversion"/>
  </si>
  <si>
    <t>泰州+泰兴+常熟</t>
    <phoneticPr fontId="21" type="noConversion"/>
  </si>
  <si>
    <t>菲律宾+马来+印尼</t>
    <phoneticPr fontId="21" type="noConversion"/>
  </si>
  <si>
    <t>靠泊菲律宾</t>
    <phoneticPr fontId="21" type="noConversion"/>
  </si>
  <si>
    <t>\\192.168.0.223\航运在线\4、企管部\006 TMSA与管理评审\BPCA 2018.3.27\企管部负责\10\2017年度SG22月度船舶废料处理和化学品消耗记录\</t>
  </si>
  <si>
    <t>\\192.168.0.223\航运在线\4、企管部\006 TMSA与管理评审\BPCA 2018.3.27\企管部负责\10\2017年度SG22月度船舶废料处理和化学品消耗记录\DH15 月度船舶废料处理和化学品消耗报表\</t>
  </si>
  <si>
    <t>\\192.168.0.223\航运在线\4、企管部\006 TMSA与管理评审\BPCA 2018.3.27\企管部负责\10\2017年度SG22月度船舶废料处理和化学品消耗记录\DH10 月度船舶废料处理和化学品消耗报表\</t>
  </si>
  <si>
    <t>\\192.168.0.223\航运在线\4、企管部\006 TMSA与管理评审\BPCA 2018.3.27\企管部负责\10\2017年度SG22月度船舶废料处理和化学品消耗记录\DH17 月度船舶废料处理和化学品消耗报表\</t>
  </si>
  <si>
    <t>\\192.168.0.223\航运在线\4、企管部\006 TMSA与管理评审\BPCA 2018.3.27\企管部负责\10\2017年度SG22月度船舶废料处理和化学品消耗记录\DH3 月度船舶废料处理和化学品消耗报表\</t>
  </si>
  <si>
    <t>\\192.168.0.223\航运在线\4、企管部\006 TMSA与管理评审\BPCA 2018.3.27\企管部负责\10\2017年度SG22月度船舶废料处理和化学品消耗记录\DH5 月度船舶废料处理和化学品消耗报表\</t>
  </si>
  <si>
    <t>\\192.168.0.223\航运在线\4、企管部\006 TMSA与管理评审\BPCA 2018.3.27\企管部负责\10\2017年度SG22月度船舶废料处理和化学品消耗记录\DH18 月度船舶废料处理和化学品消耗报表\</t>
  </si>
  <si>
    <t>\\192.168.0.223\航运在线\4、企管部\006 TMSA与管理评审\BPCA 2018.3.27\企管部负责\10\2017年度SG22月度船舶废料处理和化学品消耗记录\DH1 月度船舶废料处理和化学品消耗报表\</t>
  </si>
  <si>
    <t>\\192.168.0.223\航运在线\4、企管部\006 TMSA与管理评审\BPCA 2018.3.27\企管部负责\10\2017年度SG22月度船舶废料处理和化学品消耗记录\DH E 月度船舶废料处理和化学品消耗报表\</t>
  </si>
  <si>
    <t>\\192.168.0.223\航运在线\4、企管部\006 TMSA与管理评审\BPCA 2018.3.27\企管部负责\10\2017年度SG22月度船舶废料处理和化学品消耗记录\DH15 月度船舶废料处理和化学品消耗报表\2017-7-30 DH15.xls</t>
  </si>
  <si>
    <t>\\192.168.0.223\航运在线\4、企管部\006 TMSA与管理评审\BPCA 2018.3.27\企管部负责\10\2017年度SG22月度船舶废料处理和化学品消耗记录\DH10 月度船舶废料处理和化学品消耗报表\2017-7-31 DH10.xls</t>
  </si>
  <si>
    <t>\\192.168.0.223\航运在线\4、企管部\006 TMSA与管理评审\BPCA 2018.3.27\企管部负责\10\2017年度SG22月度船舶废料处理和化学品消耗记录\DH10 月度船舶废料处理和化学品消耗报表\2017-12 DH10.xls</t>
  </si>
  <si>
    <t>\\192.168.0.223\航运在线\4、企管部\006 TMSA与管理评审\BPCA 2018.3.27\企管部负责\10\2017年度SG22月度船舶废料处理和化学品消耗记录\DH10 月度船舶废料处理和化学品消耗报表\2017-11-30 DH 10.xls</t>
  </si>
  <si>
    <t>\\192.168.0.223\航运在线\4、企管部\006 TMSA与管理评审\BPCA 2018.3.27\企管部负责\10\2017年度SG22月度船舶废料处理和化学品消耗记录\DH10 月度船舶废料处理和化学品消耗报表\2017-11-2 DH10.xls</t>
  </si>
  <si>
    <t>\\192.168.0.223\航运在线\4、企管部\006 TMSA与管理评审\BPCA 2018.3.27\企管部负责\10\2017年度SG22月度船舶废料处理和化学品消耗记录\DH10 月度船舶废料处理和化学品消耗报表\2017-1 DH 10.xls</t>
  </si>
  <si>
    <t>\\192.168.0.223\航运在线\4、企管部\006 TMSA与管理评审\BPCA 2018.3.27\企管部负责\10\2017年度SG22月度船舶废料处理和化学品消耗记录\DH10 月度船舶废料处理和化学品消耗报表\2017-2-27 DH10.xls</t>
  </si>
  <si>
    <t>\\192.168.0.223\航运在线\4、企管部\006 TMSA与管理评审\BPCA 2018.3.27\企管部负责\10\2017年度SG22月度船舶废料处理和化学品消耗记录\DH10 月度船舶废料处理和化学品消耗报表\2017-3-30 DH10.xls</t>
  </si>
  <si>
    <t>\\192.168.0.223\航运在线\4、企管部\006 TMSA与管理评审\BPCA 2018.3.27\企管部负责\10\2017年度SG22月度船舶废料处理和化学品消耗记录\DH17 月度船舶废料处理和化学品消耗报表\2017-6-30 DH17.xls</t>
  </si>
  <si>
    <t>\\192.168.0.223\航运在线\4、企管部\006 TMSA与管理评审\BPCA 2018.3.27\企管部负责\10\2017年度SG22月度船舶废料处理和化学品消耗记录\DH17 月度船舶废料处理和化学品消耗报表\2017-1-5 DH17.xls</t>
  </si>
  <si>
    <t>\\192.168.0.223\航运在线\4、企管部\006 TMSA与管理评审\BPCA 2018.3.27\企管部负责\10\2017年度SG22月度船舶废料处理和化学品消耗记录\DH17 月度船舶废料处理和化学品消耗报表\2017-2-28 DH 17.xls</t>
  </si>
  <si>
    <t>\\192.168.0.223\航运在线\4、企管部\006 TMSA与管理评审\BPCA 2018.3.27\企管部负责\10\2017年度SG22月度船舶废料处理和化学品消耗记录\DH17 月度船舶废料处理和化学品消耗报表\2017-5-31 DH17.xls</t>
  </si>
  <si>
    <t>\\192.168.0.223\航运在线\4、企管部\006 TMSA与管理评审\BPCA 2018.3.27\企管部负责\10\2017年度SG22月度船舶废料处理和化学品消耗记录\DH17 月度船舶废料处理和化学品消耗报表\2017-1-25 DH17.xls</t>
  </si>
  <si>
    <t>\\192.168.0.223\航运在线\4、企管部\006 TMSA与管理评审\BPCA 2018.3.27\企管部负责\10\2017年度SG22月度船舶废料处理和化学品消耗记录\DH17 月度船舶废料处理和化学品消耗报表\2017-4-30 DH17.xls</t>
  </si>
  <si>
    <t>\\192.168.0.223\航运在线\4、企管部\006 TMSA与管理评审\BPCA 2018.3.27\企管部负责\10\2017年度SG22月度船舶废料处理和化学品消耗记录\DH17 月度船舶废料处理和化学品消耗报表\2017-2-28 DH17.xls</t>
  </si>
  <si>
    <t>\\192.168.0.223\航运在线\4、企管部\006 TMSA与管理评审\BPCA 2018.3.27\企管部负责\10\2017年度SG22月度船舶废料处理和化学品消耗记录\DH3 月度船舶废料处理和化学品消耗报表\2017-4-1 DH3.xls</t>
  </si>
  <si>
    <t>船员遣返费</t>
  </si>
  <si>
    <t>淡水费</t>
  </si>
  <si>
    <t>港口交通费(代理)</t>
  </si>
  <si>
    <t>速率MT/H</t>
    <phoneticPr fontId="0" type="noConversion"/>
  </si>
  <si>
    <t>1916.237M3/</t>
  </si>
  <si>
    <t>开始</t>
    <phoneticPr fontId="0" type="noConversion"/>
  </si>
  <si>
    <t>结束</t>
    <phoneticPr fontId="0" type="noConversion"/>
  </si>
  <si>
    <t>离泊</t>
    <phoneticPr fontId="0" type="noConversion"/>
  </si>
  <si>
    <t>靠泊</t>
    <phoneticPr fontId="0" type="noConversion"/>
  </si>
  <si>
    <t>货量M3</t>
    <phoneticPr fontId="0" type="noConversion"/>
  </si>
  <si>
    <t>货量MT</t>
    <phoneticPr fontId="0" type="noConversion"/>
  </si>
  <si>
    <t>卸货时长</t>
    <phoneticPr fontId="0" type="noConversion"/>
  </si>
  <si>
    <t>速率M3/H</t>
    <phoneticPr fontId="0" type="noConversion"/>
  </si>
  <si>
    <t>装货前等待时间</t>
  </si>
  <si>
    <t>装货后等待时间</t>
  </si>
  <si>
    <t>卸货前等待时间</t>
  </si>
  <si>
    <t>卸货后等待时间</t>
  </si>
  <si>
    <t>DH17 1813 等货款</t>
    <phoneticPr fontId="0" type="noConversion"/>
  </si>
</sst>
</file>

<file path=xl/styles.xml><?xml version="1.0" encoding="utf-8"?>
<styleSheet xmlns="http://schemas.openxmlformats.org/spreadsheetml/2006/main">
  <numFmts count="5">
    <numFmt numFmtId="176" formatCode="0.00_ "/>
    <numFmt numFmtId="177" formatCode="[DBNum1][$-804]General"/>
    <numFmt numFmtId="178" formatCode="0.00_);[Red]\(0.00\)"/>
    <numFmt numFmtId="179" formatCode="yyyy/mm/dd\ hh:mm:ss"/>
    <numFmt numFmtId="180" formatCode="yyyy/mm/dd\ hh:mm"/>
  </numFmts>
  <fonts count="32">
    <font>
      <sz val="11"/>
      <color theme="1"/>
      <name val="宋体"/>
      <family val="2"/>
      <charset val="134"/>
      <scheme val="minor"/>
    </font>
    <font>
      <sz val="11"/>
      <color theme="1"/>
      <name val="宋体"/>
      <family val="2"/>
      <charset val="134"/>
      <scheme val="minor"/>
    </font>
    <font>
      <b/>
      <sz val="18"/>
      <color theme="3"/>
      <name val="宋体"/>
      <family val="2"/>
      <charset val="134"/>
      <scheme val="major"/>
    </font>
    <font>
      <b/>
      <sz val="15"/>
      <color theme="3"/>
      <name val="宋体"/>
      <family val="2"/>
      <charset val="134"/>
      <scheme val="minor"/>
    </font>
    <font>
      <b/>
      <sz val="13"/>
      <color theme="3"/>
      <name val="宋体"/>
      <family val="2"/>
      <charset val="134"/>
      <scheme val="minor"/>
    </font>
    <font>
      <b/>
      <sz val="11"/>
      <color theme="3"/>
      <name val="宋体"/>
      <family val="2"/>
      <charset val="134"/>
      <scheme val="minor"/>
    </font>
    <font>
      <sz val="11"/>
      <color rgb="FF006100"/>
      <name val="宋体"/>
      <family val="2"/>
      <charset val="134"/>
      <scheme val="minor"/>
    </font>
    <font>
      <sz val="11"/>
      <color rgb="FF9C0006"/>
      <name val="宋体"/>
      <family val="2"/>
      <charset val="134"/>
      <scheme val="minor"/>
    </font>
    <font>
      <sz val="11"/>
      <color rgb="FF9C6500"/>
      <name val="宋体"/>
      <family val="2"/>
      <charset val="134"/>
      <scheme val="minor"/>
    </font>
    <font>
      <sz val="11"/>
      <color rgb="FF3F3F76"/>
      <name val="宋体"/>
      <family val="2"/>
      <charset val="134"/>
      <scheme val="minor"/>
    </font>
    <font>
      <b/>
      <sz val="11"/>
      <color rgb="FF3F3F3F"/>
      <name val="宋体"/>
      <family val="2"/>
      <charset val="134"/>
      <scheme val="minor"/>
    </font>
    <font>
      <b/>
      <sz val="11"/>
      <color rgb="FFFA7D00"/>
      <name val="宋体"/>
      <family val="2"/>
      <charset val="134"/>
      <scheme val="minor"/>
    </font>
    <font>
      <sz val="11"/>
      <color rgb="FFFA7D00"/>
      <name val="宋体"/>
      <family val="2"/>
      <charset val="134"/>
      <scheme val="minor"/>
    </font>
    <font>
      <b/>
      <sz val="11"/>
      <color theme="0"/>
      <name val="宋体"/>
      <family val="2"/>
      <charset val="134"/>
      <scheme val="minor"/>
    </font>
    <font>
      <sz val="11"/>
      <color rgb="FFFF0000"/>
      <name val="宋体"/>
      <family val="2"/>
      <charset val="134"/>
      <scheme val="minor"/>
    </font>
    <font>
      <i/>
      <sz val="11"/>
      <color rgb="FF7F7F7F"/>
      <name val="宋体"/>
      <family val="2"/>
      <charset val="134"/>
      <scheme val="minor"/>
    </font>
    <font>
      <b/>
      <sz val="11"/>
      <color theme="1"/>
      <name val="宋体"/>
      <family val="2"/>
      <charset val="134"/>
      <scheme val="minor"/>
    </font>
    <font>
      <sz val="11"/>
      <color theme="0"/>
      <name val="宋体"/>
      <family val="2"/>
      <charset val="134"/>
      <scheme val="minor"/>
    </font>
    <font>
      <sz val="11"/>
      <color rgb="FF000000"/>
      <name val="宋体"/>
      <family val="3"/>
      <charset val="134"/>
      <scheme val="minor"/>
    </font>
    <font>
      <sz val="12"/>
      <name val="宋体"/>
      <family val="3"/>
      <charset val="134"/>
    </font>
    <font>
      <sz val="10"/>
      <name val="宋体"/>
      <family val="3"/>
      <charset val="134"/>
    </font>
    <font>
      <sz val="9"/>
      <name val="宋体"/>
      <family val="3"/>
      <charset val="134"/>
    </font>
    <font>
      <b/>
      <sz val="10"/>
      <name val="宋体"/>
      <family val="3"/>
      <charset val="134"/>
    </font>
    <font>
      <sz val="9"/>
      <name val="宋体"/>
      <family val="2"/>
      <charset val="134"/>
      <scheme val="minor"/>
    </font>
    <font>
      <sz val="12"/>
      <color indexed="8"/>
      <name val="宋体"/>
      <family val="3"/>
      <charset val="134"/>
    </font>
    <font>
      <sz val="11"/>
      <color indexed="8"/>
      <name val="宋体"/>
      <family val="3"/>
      <charset val="134"/>
    </font>
    <font>
      <b/>
      <sz val="12"/>
      <color indexed="56"/>
      <name val="Arial Narrow"/>
      <family val="2"/>
    </font>
    <font>
      <sz val="11"/>
      <color theme="1"/>
      <name val="宋体"/>
      <family val="3"/>
      <charset val="134"/>
      <scheme val="minor"/>
    </font>
    <font>
      <b/>
      <sz val="11"/>
      <color theme="1"/>
      <name val="宋体"/>
      <family val="3"/>
      <charset val="134"/>
      <scheme val="minor"/>
    </font>
    <font>
      <u/>
      <sz val="11"/>
      <color theme="10"/>
      <name val="宋体"/>
      <family val="3"/>
      <charset val="134"/>
    </font>
    <font>
      <sz val="11"/>
      <color rgb="FF333333"/>
      <name val="Arial"/>
      <family val="2"/>
    </font>
    <font>
      <sz val="10.5"/>
      <color theme="1"/>
      <name val="等线"/>
      <family val="3"/>
      <charset val="134"/>
    </font>
  </fonts>
  <fills count="37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rgb="FFFFFF00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3" tint="0.59999389629810485"/>
        <bgColor indexed="64"/>
      </patternFill>
    </fill>
  </fills>
  <borders count="14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</borders>
  <cellStyleXfs count="46">
    <xf numFmtId="0" fontId="0" fillId="0" borderId="0">
      <alignment vertical="center"/>
    </xf>
    <xf numFmtId="0" fontId="2" fillId="0" borderId="0" applyNumberFormat="0" applyFill="0" applyBorder="0" applyAlignment="0" applyProtection="0">
      <alignment vertical="center"/>
    </xf>
    <xf numFmtId="0" fontId="3" fillId="0" borderId="1" applyNumberFormat="0" applyFill="0" applyAlignment="0" applyProtection="0">
      <alignment vertical="center"/>
    </xf>
    <xf numFmtId="0" fontId="4" fillId="0" borderId="2" applyNumberFormat="0" applyFill="0" applyAlignment="0" applyProtection="0">
      <alignment vertical="center"/>
    </xf>
    <xf numFmtId="0" fontId="5" fillId="0" borderId="3" applyNumberFormat="0" applyFill="0" applyAlignment="0" applyProtection="0">
      <alignment vertical="center"/>
    </xf>
    <xf numFmtId="0" fontId="5" fillId="0" borderId="0" applyNumberFormat="0" applyFill="0" applyBorder="0" applyAlignment="0" applyProtection="0">
      <alignment vertical="center"/>
    </xf>
    <xf numFmtId="0" fontId="6" fillId="2" borderId="0" applyNumberFormat="0" applyBorder="0" applyAlignment="0" applyProtection="0">
      <alignment vertical="center"/>
    </xf>
    <xf numFmtId="0" fontId="7" fillId="3" borderId="0" applyNumberFormat="0" applyBorder="0" applyAlignment="0" applyProtection="0">
      <alignment vertical="center"/>
    </xf>
    <xf numFmtId="0" fontId="8" fillId="4" borderId="0" applyNumberFormat="0" applyBorder="0" applyAlignment="0" applyProtection="0">
      <alignment vertical="center"/>
    </xf>
    <xf numFmtId="0" fontId="9" fillId="5" borderId="4" applyNumberFormat="0" applyAlignment="0" applyProtection="0">
      <alignment vertical="center"/>
    </xf>
    <xf numFmtId="0" fontId="10" fillId="6" borderId="5" applyNumberFormat="0" applyAlignment="0" applyProtection="0">
      <alignment vertical="center"/>
    </xf>
    <xf numFmtId="0" fontId="11" fillId="6" borderId="4" applyNumberFormat="0" applyAlignment="0" applyProtection="0">
      <alignment vertical="center"/>
    </xf>
    <xf numFmtId="0" fontId="12" fillId="0" borderId="6" applyNumberFormat="0" applyFill="0" applyAlignment="0" applyProtection="0">
      <alignment vertical="center"/>
    </xf>
    <xf numFmtId="0" fontId="13" fillId="7" borderId="7" applyNumberFormat="0" applyAlignment="0" applyProtection="0">
      <alignment vertical="center"/>
    </xf>
    <xf numFmtId="0" fontId="14" fillId="0" borderId="0" applyNumberFormat="0" applyFill="0" applyBorder="0" applyAlignment="0" applyProtection="0">
      <alignment vertical="center"/>
    </xf>
    <xf numFmtId="0" fontId="1" fillId="8" borderId="8" applyNumberFormat="0" applyFont="0" applyAlignment="0" applyProtection="0">
      <alignment vertical="center"/>
    </xf>
    <xf numFmtId="0" fontId="15" fillId="0" borderId="0" applyNumberFormat="0" applyFill="0" applyBorder="0" applyAlignment="0" applyProtection="0">
      <alignment vertical="center"/>
    </xf>
    <xf numFmtId="0" fontId="16" fillId="0" borderId="9" applyNumberFormat="0" applyFill="0" applyAlignment="0" applyProtection="0">
      <alignment vertical="center"/>
    </xf>
    <xf numFmtId="0" fontId="17" fillId="9" borderId="0" applyNumberFormat="0" applyBorder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7" fillId="12" borderId="0" applyNumberFormat="0" applyBorder="0" applyAlignment="0" applyProtection="0">
      <alignment vertical="center"/>
    </xf>
    <xf numFmtId="0" fontId="17" fillId="13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7" fillId="16" borderId="0" applyNumberFormat="0" applyBorder="0" applyAlignment="0" applyProtection="0">
      <alignment vertical="center"/>
    </xf>
    <xf numFmtId="0" fontId="17" fillId="17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7" fillId="20" borderId="0" applyNumberFormat="0" applyBorder="0" applyAlignment="0" applyProtection="0">
      <alignment vertical="center"/>
    </xf>
    <xf numFmtId="0" fontId="17" fillId="21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7" fillId="24" borderId="0" applyNumberFormat="0" applyBorder="0" applyAlignment="0" applyProtection="0">
      <alignment vertical="center"/>
    </xf>
    <xf numFmtId="0" fontId="17" fillId="25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7" fillId="28" borderId="0" applyNumberFormat="0" applyBorder="0" applyAlignment="0" applyProtection="0">
      <alignment vertical="center"/>
    </xf>
    <xf numFmtId="0" fontId="17" fillId="29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7" fillId="32" borderId="0" applyNumberFormat="0" applyBorder="0" applyAlignment="0" applyProtection="0">
      <alignment vertical="center"/>
    </xf>
    <xf numFmtId="0" fontId="19" fillId="0" borderId="0"/>
    <xf numFmtId="9" fontId="1" fillId="0" borderId="0" applyFont="0" applyFill="0" applyBorder="0" applyAlignment="0" applyProtection="0">
      <alignment vertical="center"/>
    </xf>
    <xf numFmtId="176" fontId="25" fillId="0" borderId="0">
      <alignment vertical="center"/>
    </xf>
    <xf numFmtId="0" fontId="29" fillId="0" borderId="0" applyNumberFormat="0" applyFill="0" applyBorder="0" applyAlignment="0" applyProtection="0">
      <alignment vertical="top"/>
      <protection locked="0"/>
    </xf>
  </cellStyleXfs>
  <cellXfs count="52">
    <xf numFmtId="0" fontId="0" fillId="0" borderId="0" xfId="0">
      <alignment vertical="center"/>
    </xf>
    <xf numFmtId="176" fontId="0" fillId="0" borderId="0" xfId="0" applyNumberFormat="1" applyAlignment="1">
      <alignment horizontal="center" vertical="center"/>
    </xf>
    <xf numFmtId="0" fontId="0" fillId="0" borderId="0" xfId="0">
      <alignment vertical="center"/>
    </xf>
    <xf numFmtId="0" fontId="0" fillId="0" borderId="0" xfId="0">
      <alignment vertical="center"/>
    </xf>
    <xf numFmtId="0" fontId="0" fillId="0" borderId="0" xfId="0" applyAlignment="1">
      <alignment horizontal="center" vertical="center"/>
    </xf>
    <xf numFmtId="0" fontId="22" fillId="34" borderId="13" xfId="42" applyFont="1" applyFill="1" applyBorder="1" applyAlignment="1" applyProtection="1">
      <alignment horizontal="center" vertical="center"/>
      <protection locked="0"/>
    </xf>
    <xf numFmtId="0" fontId="0" fillId="0" borderId="0" xfId="0">
      <alignment vertical="center"/>
    </xf>
    <xf numFmtId="3" fontId="0" fillId="0" borderId="0" xfId="0" applyNumberFormat="1">
      <alignment vertical="center"/>
    </xf>
    <xf numFmtId="9" fontId="0" fillId="0" borderId="0" xfId="43" applyFont="1">
      <alignment vertical="center"/>
    </xf>
    <xf numFmtId="0" fontId="0" fillId="0" borderId="0" xfId="0">
      <alignment vertical="center"/>
    </xf>
    <xf numFmtId="177" fontId="0" fillId="0" borderId="0" xfId="0" applyNumberFormat="1">
      <alignment vertical="center"/>
    </xf>
    <xf numFmtId="177" fontId="24" fillId="35" borderId="13" xfId="0" applyNumberFormat="1" applyFont="1" applyFill="1" applyBorder="1" applyAlignment="1">
      <alignment horizontal="center" vertical="center" wrapText="1"/>
    </xf>
    <xf numFmtId="177" fontId="26" fillId="0" borderId="13" xfId="44" applyNumberFormat="1" applyFont="1" applyBorder="1" applyAlignment="1">
      <alignment horizontal="center" vertical="center" wrapText="1"/>
    </xf>
    <xf numFmtId="177" fontId="0" fillId="0" borderId="13" xfId="0" applyNumberFormat="1" applyBorder="1" applyAlignment="1">
      <alignment horizontal="center" vertical="center"/>
    </xf>
    <xf numFmtId="177" fontId="25" fillId="0" borderId="13" xfId="0" applyNumberFormat="1" applyFont="1" applyFill="1" applyBorder="1" applyAlignment="1">
      <alignment horizontal="center" vertical="center" wrapText="1"/>
    </xf>
    <xf numFmtId="177" fontId="0" fillId="0" borderId="13" xfId="0" applyNumberFormat="1" applyFont="1" applyBorder="1" applyAlignment="1">
      <alignment horizontal="center" vertical="center"/>
    </xf>
    <xf numFmtId="177" fontId="26" fillId="0" borderId="13" xfId="44" applyNumberFormat="1" applyFont="1" applyFill="1" applyBorder="1" applyAlignment="1">
      <alignment horizontal="center" vertical="center" wrapText="1"/>
    </xf>
    <xf numFmtId="177" fontId="25" fillId="35" borderId="13" xfId="0" applyNumberFormat="1" applyFont="1" applyFill="1" applyBorder="1" applyAlignment="1">
      <alignment horizontal="center" vertical="center" wrapText="1"/>
    </xf>
    <xf numFmtId="177" fontId="0" fillId="0" borderId="0" xfId="0" applyNumberFormat="1" applyFont="1">
      <alignment vertical="center"/>
    </xf>
    <xf numFmtId="0" fontId="27" fillId="0" borderId="0" xfId="0" applyFont="1">
      <alignment vertical="center"/>
    </xf>
    <xf numFmtId="0" fontId="0" fillId="0" borderId="0" xfId="0">
      <alignment vertical="center"/>
    </xf>
    <xf numFmtId="0" fontId="0" fillId="0" borderId="0" xfId="0">
      <alignment vertical="center"/>
    </xf>
    <xf numFmtId="0" fontId="0" fillId="0" borderId="0" xfId="0">
      <alignment vertical="center"/>
    </xf>
    <xf numFmtId="178" fontId="0" fillId="0" borderId="0" xfId="0" applyNumberFormat="1">
      <alignment vertical="center"/>
    </xf>
    <xf numFmtId="176" fontId="0" fillId="0" borderId="0" xfId="0" applyNumberFormat="1">
      <alignment vertical="center"/>
    </xf>
    <xf numFmtId="0" fontId="28" fillId="0" borderId="0" xfId="0" applyFont="1">
      <alignment vertical="center"/>
    </xf>
    <xf numFmtId="22" fontId="0" fillId="0" borderId="0" xfId="0" applyNumberFormat="1">
      <alignment vertical="center"/>
    </xf>
    <xf numFmtId="0" fontId="30" fillId="0" borderId="0" xfId="0" applyFont="1">
      <alignment vertical="center"/>
    </xf>
    <xf numFmtId="0" fontId="29" fillId="0" borderId="0" xfId="45" applyAlignment="1" applyProtection="1">
      <alignment vertical="center"/>
    </xf>
    <xf numFmtId="0" fontId="30" fillId="0" borderId="0" xfId="0" applyFont="1" applyAlignment="1">
      <alignment vertical="center" wrapText="1"/>
    </xf>
    <xf numFmtId="0" fontId="31" fillId="0" borderId="0" xfId="0" applyFont="1" applyAlignment="1">
      <alignment horizontal="justify" vertical="center"/>
    </xf>
    <xf numFmtId="0" fontId="0" fillId="0" borderId="0" xfId="0">
      <alignment vertical="center"/>
    </xf>
    <xf numFmtId="179" fontId="0" fillId="0" borderId="0" xfId="0" applyNumberFormat="1">
      <alignment vertical="center"/>
    </xf>
    <xf numFmtId="0" fontId="0" fillId="0" borderId="0" xfId="0">
      <alignment vertical="center"/>
    </xf>
    <xf numFmtId="0" fontId="0" fillId="0" borderId="0" xfId="0">
      <alignment vertical="center"/>
    </xf>
    <xf numFmtId="0" fontId="0" fillId="0" borderId="0" xfId="0">
      <alignment vertical="center"/>
    </xf>
    <xf numFmtId="0" fontId="0" fillId="0" borderId="0" xfId="0">
      <alignment vertical="center"/>
    </xf>
    <xf numFmtId="0" fontId="0" fillId="0" borderId="0" xfId="0">
      <alignment vertical="center"/>
    </xf>
    <xf numFmtId="0" fontId="0" fillId="0" borderId="13" xfId="0" applyBorder="1">
      <alignment vertical="center"/>
    </xf>
    <xf numFmtId="180" fontId="0" fillId="0" borderId="0" xfId="0" applyNumberFormat="1">
      <alignment vertical="center"/>
    </xf>
    <xf numFmtId="0" fontId="0" fillId="0" borderId="0" xfId="0">
      <alignment vertical="center"/>
    </xf>
    <xf numFmtId="176" fontId="0" fillId="36" borderId="0" xfId="0" applyNumberFormat="1" applyFill="1">
      <alignment vertical="center"/>
    </xf>
    <xf numFmtId="0" fontId="20" fillId="0" borderId="10" xfId="42" applyFont="1" applyBorder="1" applyAlignment="1" applyProtection="1">
      <alignment horizontal="center" vertical="center" wrapText="1"/>
      <protection locked="0"/>
    </xf>
    <xf numFmtId="0" fontId="20" fillId="0" borderId="11" xfId="42" applyFont="1" applyBorder="1" applyAlignment="1" applyProtection="1">
      <alignment horizontal="center" vertical="center" wrapText="1"/>
      <protection locked="0"/>
    </xf>
    <xf numFmtId="0" fontId="20" fillId="0" borderId="12" xfId="42" applyFont="1" applyBorder="1" applyAlignment="1" applyProtection="1">
      <alignment horizontal="center" vertical="center" wrapText="1"/>
      <protection locked="0"/>
    </xf>
    <xf numFmtId="0" fontId="20" fillId="33" borderId="10" xfId="42" applyFont="1" applyFill="1" applyBorder="1" applyAlignment="1" applyProtection="1">
      <alignment horizontal="center" vertical="center"/>
      <protection locked="0"/>
    </xf>
    <xf numFmtId="0" fontId="20" fillId="33" borderId="11" xfId="42" applyFont="1" applyFill="1" applyBorder="1" applyAlignment="1" applyProtection="1">
      <alignment horizontal="center" vertical="center"/>
      <protection locked="0"/>
    </xf>
    <xf numFmtId="0" fontId="20" fillId="33" borderId="12" xfId="42" applyFont="1" applyFill="1" applyBorder="1" applyAlignment="1" applyProtection="1">
      <alignment horizontal="center" vertical="center"/>
      <protection locked="0"/>
    </xf>
    <xf numFmtId="0" fontId="20" fillId="0" borderId="10" xfId="42" applyFont="1" applyBorder="1" applyAlignment="1" applyProtection="1">
      <alignment horizontal="center" vertical="center"/>
      <protection locked="0"/>
    </xf>
    <xf numFmtId="0" fontId="20" fillId="0" borderId="11" xfId="42" applyFont="1" applyBorder="1" applyAlignment="1" applyProtection="1">
      <alignment horizontal="center" vertical="center"/>
      <protection locked="0"/>
    </xf>
    <xf numFmtId="0" fontId="20" fillId="0" borderId="12" xfId="42" applyFont="1" applyBorder="1" applyAlignment="1" applyProtection="1">
      <alignment horizontal="center" vertical="center"/>
      <protection locked="0"/>
    </xf>
    <xf numFmtId="0" fontId="0" fillId="0" borderId="0" xfId="0">
      <alignment vertical="center"/>
    </xf>
  </cellXfs>
  <cellStyles count="46">
    <cellStyle name="20% - 强调文字颜色 1" xfId="19" builtinId="30" customBuiltin="1"/>
    <cellStyle name="20% - 强调文字颜色 2" xfId="23" builtinId="34" customBuiltin="1"/>
    <cellStyle name="20% - 强调文字颜色 3" xfId="27" builtinId="38" customBuiltin="1"/>
    <cellStyle name="20% - 强调文字颜色 4" xfId="31" builtinId="42" customBuiltin="1"/>
    <cellStyle name="20% - 强调文字颜色 5" xfId="35" builtinId="46" customBuiltin="1"/>
    <cellStyle name="20% - 强调文字颜色 6" xfId="39" builtinId="50" customBuiltin="1"/>
    <cellStyle name="40% - 强调文字颜色 1" xfId="20" builtinId="31" customBuiltin="1"/>
    <cellStyle name="40% - 强调文字颜色 2" xfId="24" builtinId="35" customBuiltin="1"/>
    <cellStyle name="40% - 强调文字颜色 3" xfId="28" builtinId="39" customBuiltin="1"/>
    <cellStyle name="40% - 强调文字颜色 4" xfId="32" builtinId="43" customBuiltin="1"/>
    <cellStyle name="40% - 强调文字颜色 5" xfId="36" builtinId="47" customBuiltin="1"/>
    <cellStyle name="40% - 强调文字颜色 6" xfId="40" builtinId="51" customBuiltin="1"/>
    <cellStyle name="60% - 强调文字颜色 1" xfId="21" builtinId="32" customBuiltin="1"/>
    <cellStyle name="60% - 强调文字颜色 2" xfId="25" builtinId="36" customBuiltin="1"/>
    <cellStyle name="60% - 强调文字颜色 3" xfId="29" builtinId="40" customBuiltin="1"/>
    <cellStyle name="60% - 强调文字颜色 4" xfId="33" builtinId="44" customBuiltin="1"/>
    <cellStyle name="60% - 强调文字颜色 5" xfId="37" builtinId="48" customBuiltin="1"/>
    <cellStyle name="60% - 强调文字颜色 6" xfId="41" builtinId="52" customBuiltin="1"/>
    <cellStyle name="百分比" xfId="43" builtinId="5"/>
    <cellStyle name="标题" xfId="1" builtinId="15" customBuiltin="1"/>
    <cellStyle name="标题 1" xfId="2" builtinId="16" customBuiltin="1"/>
    <cellStyle name="标题 2" xfId="3" builtinId="17" customBuiltin="1"/>
    <cellStyle name="标题 3" xfId="4" builtinId="18" customBuiltin="1"/>
    <cellStyle name="标题 4" xfId="5" builtinId="19" customBuiltin="1"/>
    <cellStyle name="差" xfId="7" builtinId="27" customBuiltin="1"/>
    <cellStyle name="常规" xfId="0" builtinId="0"/>
    <cellStyle name="常规 2" xfId="44"/>
    <cellStyle name="常规_1217航次报表" xfId="42"/>
    <cellStyle name="超链接" xfId="45" builtinId="8"/>
    <cellStyle name="好" xfId="6" builtinId="26" customBuiltin="1"/>
    <cellStyle name="汇总" xfId="17" builtinId="25" customBuiltin="1"/>
    <cellStyle name="计算" xfId="11" builtinId="22" customBuiltin="1"/>
    <cellStyle name="检查单元格" xfId="13" builtinId="23" customBuiltin="1"/>
    <cellStyle name="解释性文本" xfId="16" builtinId="53" customBuiltin="1"/>
    <cellStyle name="警告文本" xfId="14" builtinId="11" customBuiltin="1"/>
    <cellStyle name="链接单元格" xfId="12" builtinId="24" customBuiltin="1"/>
    <cellStyle name="强调文字颜色 1" xfId="18" builtinId="29" customBuiltin="1"/>
    <cellStyle name="强调文字颜色 2" xfId="22" builtinId="33" customBuiltin="1"/>
    <cellStyle name="强调文字颜色 3" xfId="26" builtinId="37" customBuiltin="1"/>
    <cellStyle name="强调文字颜色 4" xfId="30" builtinId="41" customBuiltin="1"/>
    <cellStyle name="强调文字颜色 5" xfId="34" builtinId="45" customBuiltin="1"/>
    <cellStyle name="强调文字颜色 6" xfId="38" builtinId="49" customBuiltin="1"/>
    <cellStyle name="适中" xfId="8" builtinId="28" customBuiltin="1"/>
    <cellStyle name="输出" xfId="10" builtinId="21" customBuiltin="1"/>
    <cellStyle name="输入" xfId="9" builtinId="20" customBuiltin="1"/>
    <cellStyle name="注释" xfId="15" builtinId="10" customBuiltin="1"/>
  </cellStyles>
  <dxfs count="4"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strike val="0"/>
      </font>
    </dxf>
  </dxfs>
  <tableStyles count="0" defaultTableStyle="TableStyleMedium9" defaultPivotStyle="PivotStyleLight16"/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openxmlformats.org/officeDocument/2006/relationships/theme" Target="theme/theme1.xml"/><Relationship Id="rId20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externalLink" Target="externalLinks/externalLink1.xml"/><Relationship Id="rId10" Type="http://schemas.openxmlformats.org/officeDocument/2006/relationships/worksheet" Target="worksheets/sheet10.xml"/><Relationship Id="rId19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5</xdr:col>
      <xdr:colOff>28575</xdr:colOff>
      <xdr:row>3</xdr:row>
      <xdr:rowOff>161925</xdr:rowOff>
    </xdr:from>
    <xdr:to>
      <xdr:col>8</xdr:col>
      <xdr:colOff>381000</xdr:colOff>
      <xdr:row>8</xdr:row>
      <xdr:rowOff>114300</xdr:rowOff>
    </xdr:to>
    <xdr:pic>
      <xdr:nvPicPr>
        <xdr:cNvPr id="9217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6162675" y="676275"/>
          <a:ext cx="4772025" cy="809625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E:\RTX\RTX\1249\Files\&#35780;&#23450;&#26631;&#20934;&#26032;20130125.xls" TargetMode="External"/></Relationships>
</file>

<file path=xl/externalLinks/externalLink1.xml><?xml version="1.0" encoding="utf-8"?>
<externalLink xmlns="http://schemas.openxmlformats.org/spreadsheetml/2006/main">
  <externalBook xmlns:r="http://schemas.openxmlformats.org/officeDocument/2006/relationships" r:id="rId1">
    <sheetNames>
      <sheetName val="IB评分标准 "/>
      <sheetName val="传真评分标准"/>
      <sheetName val="邮件在线答疑评分标准"/>
      <sheetName val="论坛评分标准"/>
      <sheetName val="回访评定标准"/>
      <sheetName val="活动组评定标准"/>
      <sheetName val="活动组打分表"/>
      <sheetName val="IB打分表"/>
      <sheetName val="bbs打分表"/>
      <sheetName val="MAIL&amp;ONLINE打分表 "/>
      <sheetName val="FAX打分表"/>
      <sheetName val="回访打分表"/>
      <sheetName val="Sheet1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>
        <row r="3">
          <cell r="AB3">
            <v>0</v>
          </cell>
        </row>
        <row r="4">
          <cell r="AB4">
            <v>0.2</v>
          </cell>
        </row>
        <row r="5">
          <cell r="AB5">
            <v>0.6</v>
          </cell>
        </row>
        <row r="6">
          <cell r="AB6">
            <v>0.8</v>
          </cell>
        </row>
        <row r="7">
          <cell r="AB7">
            <v>1</v>
          </cell>
        </row>
      </sheetData>
      <sheetData sheetId="8" refreshError="1"/>
      <sheetData sheetId="9" refreshError="1"/>
      <sheetData sheetId="10" refreshError="1"/>
      <sheetData sheetId="11" refreshError="1"/>
      <sheetData sheetId="12" refreshError="1"/>
    </sheetDataSet>
  </externalBook>
</externalLink>
</file>

<file path=xl/theme/theme1.xml><?xml version="1.0" encoding="utf-8"?>
<a:theme xmlns:a="http://schemas.openxmlformats.org/drawingml/2006/main" name="Office 主题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2.vml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3.vml"/></Relationships>
</file>

<file path=xl/worksheets/_rels/sheet9.xml.rels><?xml version="1.0" encoding="UTF-8" standalone="yes"?>
<Relationships xmlns="http://schemas.openxmlformats.org/package/2006/relationships"><Relationship Id="rId8" Type="http://schemas.openxmlformats.org/officeDocument/2006/relationships/hyperlink" Target="http://www.dinghengshipping.com/Upload/&#40718;&#34913;1614414747986(1)-15454480254.doc" TargetMode="External"/><Relationship Id="rId13" Type="http://schemas.openxmlformats.org/officeDocument/2006/relationships/hyperlink" Target="http://www.dinghengshipping.com/Upload/8,500DWT14453918052-15325534785.doc" TargetMode="External"/><Relationship Id="rId3" Type="http://schemas.openxmlformats.org/officeDocument/2006/relationships/hyperlink" Target="http://www.dinghengshipping.com/Upload/&#40718;&#34913;314390220499-15442072442.doc" TargetMode="External"/><Relationship Id="rId7" Type="http://schemas.openxmlformats.org/officeDocument/2006/relationships/hyperlink" Target="http://www.dinghengshipping.com/Upload/&#40718;&#34913;1514410564204-15452871829.doc" TargetMode="External"/><Relationship Id="rId12" Type="http://schemas.openxmlformats.org/officeDocument/2006/relationships/hyperlink" Target="http://www.dinghengshipping.com/Upload/DHANGEL11PARTICULARS09011813446(1)-15483326839.docx" TargetMode="External"/><Relationship Id="rId2" Type="http://schemas.openxmlformats.org/officeDocument/2006/relationships/hyperlink" Target="http://www.dinghengshipping.com/Upload/&#40718;&#34913;214383568830(1)-15440428502.doc" TargetMode="External"/><Relationship Id="rId1" Type="http://schemas.openxmlformats.org/officeDocument/2006/relationships/hyperlink" Target="http://www.dinghengshipping.com/Upload/&#40718;&#34913;114372472032-15432277046.doc" TargetMode="External"/><Relationship Id="rId6" Type="http://schemas.openxmlformats.org/officeDocument/2006/relationships/hyperlink" Target="http://www.dinghengshipping.com/Upload/&#40718;&#34913;1014402540721-15451335394.doc" TargetMode="External"/><Relationship Id="rId11" Type="http://schemas.openxmlformats.org/officeDocument/2006/relationships/hyperlink" Target="http://www.dinghengshipping.com/Upload/&#24314;&#20852;3214430912608-15463944409.doc" TargetMode="External"/><Relationship Id="rId5" Type="http://schemas.openxmlformats.org/officeDocument/2006/relationships/hyperlink" Target="http://www.dinghengshipping.com/Upload/&#40718;&#34913;914400451280-15445540573.doc" TargetMode="External"/><Relationship Id="rId10" Type="http://schemas.openxmlformats.org/officeDocument/2006/relationships/hyperlink" Target="http://www.dinghengshipping.com/Upload/&#40718;&#34913;1814424864200-15461757936.doc" TargetMode="External"/><Relationship Id="rId4" Type="http://schemas.openxmlformats.org/officeDocument/2006/relationships/hyperlink" Target="http://www.dinghengshipping.com/Upload/&#40718;&#34913;514392261173-15443763209.doc" TargetMode="External"/><Relationship Id="rId9" Type="http://schemas.openxmlformats.org/officeDocument/2006/relationships/hyperlink" Target="http://www.dinghengshipping.com/Upload/&#40718;&#34913;1714422485272-15460264319.doc" TargetMode="External"/><Relationship Id="rId14" Type="http://schemas.openxmlformats.org/officeDocument/2006/relationships/hyperlink" Target="http://www.dinghengshipping.com/Upload/DHEPOCHQ88(&#27491;&#30830;)(1)-16052059236.docx" TargetMode="Externa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4.vml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3"/>
  <dimension ref="A1:AC303"/>
  <sheetViews>
    <sheetView topLeftCell="A16" workbookViewId="0">
      <selection activeCell="E41" sqref="E41"/>
    </sheetView>
  </sheetViews>
  <sheetFormatPr defaultColWidth="9" defaultRowHeight="13.5"/>
  <cols>
    <col min="1" max="1" width="5.5" customWidth="1"/>
    <col min="2" max="2" width="5.5" bestFit="1" customWidth="1"/>
    <col min="3" max="3" width="6.25" customWidth="1"/>
    <col min="5" max="5" width="10.875" customWidth="1"/>
    <col min="7" max="7" width="9.5" bestFit="1" customWidth="1"/>
    <col min="13" max="13" width="11.625" bestFit="1" customWidth="1"/>
  </cols>
  <sheetData>
    <row r="1" spans="1:29">
      <c r="A1" t="s">
        <v>481</v>
      </c>
      <c r="B1" t="s">
        <v>482</v>
      </c>
      <c r="C1" t="s">
        <v>483</v>
      </c>
      <c r="D1" t="s">
        <v>484</v>
      </c>
      <c r="E1" t="s">
        <v>485</v>
      </c>
      <c r="F1" t="s">
        <v>486</v>
      </c>
      <c r="G1" t="s">
        <v>487</v>
      </c>
      <c r="H1" t="s">
        <v>512</v>
      </c>
      <c r="I1" t="s">
        <v>513</v>
      </c>
      <c r="J1" t="s">
        <v>489</v>
      </c>
      <c r="K1" t="s">
        <v>490</v>
      </c>
      <c r="L1" t="s">
        <v>514</v>
      </c>
      <c r="M1" t="s">
        <v>491</v>
      </c>
      <c r="N1" t="s">
        <v>510</v>
      </c>
      <c r="O1" t="s">
        <v>492</v>
      </c>
      <c r="P1" t="s">
        <v>511</v>
      </c>
      <c r="Q1" t="s">
        <v>493</v>
      </c>
      <c r="R1" t="s">
        <v>511</v>
      </c>
      <c r="S1" t="s">
        <v>494</v>
      </c>
      <c r="T1" t="s">
        <v>495</v>
      </c>
      <c r="U1" t="s">
        <v>496</v>
      </c>
      <c r="V1" t="s">
        <v>497</v>
      </c>
      <c r="W1" t="s">
        <v>498</v>
      </c>
      <c r="X1" t="s">
        <v>499</v>
      </c>
      <c r="Y1" t="s">
        <v>500</v>
      </c>
      <c r="Z1" t="s">
        <v>501</v>
      </c>
      <c r="AA1" t="s">
        <v>502</v>
      </c>
      <c r="AB1" t="s">
        <v>503</v>
      </c>
      <c r="AC1" t="s">
        <v>504</v>
      </c>
    </row>
    <row r="2" spans="1:29">
      <c r="A2" t="s">
        <v>11</v>
      </c>
      <c r="B2">
        <v>1743</v>
      </c>
      <c r="C2" t="s">
        <v>507</v>
      </c>
      <c r="D2">
        <v>962.36500000000001</v>
      </c>
      <c r="E2" t="s">
        <v>480</v>
      </c>
      <c r="G2" t="s">
        <v>505</v>
      </c>
      <c r="I2">
        <v>23.52</v>
      </c>
      <c r="J2">
        <f t="shared" ref="J2:J8" si="0">D2*I2</f>
        <v>22634.824799999999</v>
      </c>
      <c r="L2">
        <v>2.5000000000000001E-2</v>
      </c>
      <c r="M2">
        <f t="shared" ref="M2:M9" si="1">J2*L2</f>
        <v>565.87062000000003</v>
      </c>
      <c r="N2" t="s">
        <v>516</v>
      </c>
    </row>
    <row r="3" spans="1:29">
      <c r="A3" t="s">
        <v>11</v>
      </c>
      <c r="B3">
        <v>1743</v>
      </c>
      <c r="C3" t="s">
        <v>507</v>
      </c>
      <c r="D3">
        <v>1913.28</v>
      </c>
      <c r="E3" t="s">
        <v>480</v>
      </c>
      <c r="G3" t="s">
        <v>506</v>
      </c>
      <c r="I3">
        <v>23.52</v>
      </c>
      <c r="J3">
        <f t="shared" si="0"/>
        <v>45000.345600000001</v>
      </c>
      <c r="L3">
        <v>2.5000000000000001E-2</v>
      </c>
      <c r="M3">
        <f t="shared" si="1"/>
        <v>1125.00864</v>
      </c>
      <c r="N3" t="s">
        <v>516</v>
      </c>
    </row>
    <row r="4" spans="1:29">
      <c r="A4" t="s">
        <v>11</v>
      </c>
      <c r="B4">
        <v>1739</v>
      </c>
      <c r="C4" t="s">
        <v>507</v>
      </c>
      <c r="D4">
        <v>962.04499999999996</v>
      </c>
      <c r="E4" t="s">
        <v>480</v>
      </c>
      <c r="G4" t="s">
        <v>505</v>
      </c>
      <c r="I4">
        <v>23.52</v>
      </c>
      <c r="J4">
        <f t="shared" si="0"/>
        <v>22627.2984</v>
      </c>
      <c r="L4">
        <v>2.5000000000000001E-2</v>
      </c>
      <c r="M4">
        <f t="shared" si="1"/>
        <v>565.68245999999999</v>
      </c>
      <c r="N4" t="s">
        <v>516</v>
      </c>
    </row>
    <row r="5" spans="1:29">
      <c r="A5" t="s">
        <v>11</v>
      </c>
      <c r="B5">
        <v>1739</v>
      </c>
      <c r="C5" t="s">
        <v>507</v>
      </c>
      <c r="D5">
        <v>1910.835</v>
      </c>
      <c r="E5" t="s">
        <v>480</v>
      </c>
      <c r="G5" t="s">
        <v>506</v>
      </c>
      <c r="I5">
        <v>23.52</v>
      </c>
      <c r="J5">
        <f t="shared" si="0"/>
        <v>44942.839200000002</v>
      </c>
      <c r="L5">
        <v>2.5000000000000001E-2</v>
      </c>
      <c r="M5">
        <f t="shared" si="1"/>
        <v>1123.5709800000002</v>
      </c>
      <c r="N5" t="s">
        <v>516</v>
      </c>
    </row>
    <row r="6" spans="1:29">
      <c r="A6" t="s">
        <v>11</v>
      </c>
      <c r="B6">
        <v>1734</v>
      </c>
      <c r="C6" t="s">
        <v>507</v>
      </c>
      <c r="D6">
        <v>958.88199999999995</v>
      </c>
      <c r="E6" t="s">
        <v>480</v>
      </c>
      <c r="G6" t="s">
        <v>505</v>
      </c>
      <c r="I6">
        <v>23.52</v>
      </c>
      <c r="J6">
        <f t="shared" si="0"/>
        <v>22552.904639999997</v>
      </c>
      <c r="L6">
        <v>2.5000000000000001E-2</v>
      </c>
      <c r="M6">
        <f t="shared" si="1"/>
        <v>563.82261599999993</v>
      </c>
      <c r="N6" t="s">
        <v>516</v>
      </c>
    </row>
    <row r="7" spans="1:29">
      <c r="A7" t="s">
        <v>11</v>
      </c>
      <c r="B7">
        <v>1734</v>
      </c>
      <c r="C7" t="s">
        <v>507</v>
      </c>
      <c r="D7">
        <v>1990.367</v>
      </c>
      <c r="E7" t="s">
        <v>480</v>
      </c>
      <c r="G7" t="s">
        <v>506</v>
      </c>
      <c r="I7">
        <v>23.52</v>
      </c>
      <c r="J7">
        <f t="shared" si="0"/>
        <v>46813.431839999997</v>
      </c>
      <c r="L7">
        <v>2.5000000000000001E-2</v>
      </c>
      <c r="M7">
        <f t="shared" si="1"/>
        <v>1170.3357960000001</v>
      </c>
      <c r="N7" t="s">
        <v>516</v>
      </c>
    </row>
    <row r="8" spans="1:29">
      <c r="A8" t="s">
        <v>11</v>
      </c>
      <c r="B8">
        <v>1742</v>
      </c>
      <c r="C8" t="s">
        <v>507</v>
      </c>
      <c r="D8">
        <v>2609.933</v>
      </c>
      <c r="E8" t="s">
        <v>508</v>
      </c>
      <c r="G8" t="s">
        <v>509</v>
      </c>
      <c r="I8">
        <v>33</v>
      </c>
      <c r="J8">
        <f t="shared" si="0"/>
        <v>86127.789000000004</v>
      </c>
      <c r="L8">
        <v>0.05</v>
      </c>
      <c r="M8">
        <f t="shared" si="1"/>
        <v>4306.3894500000006</v>
      </c>
      <c r="N8" t="s">
        <v>515</v>
      </c>
    </row>
    <row r="9" spans="1:29">
      <c r="A9" t="s">
        <v>11</v>
      </c>
      <c r="B9">
        <v>1744</v>
      </c>
      <c r="C9" t="s">
        <v>507</v>
      </c>
      <c r="D9">
        <v>1805.87</v>
      </c>
      <c r="E9" t="s">
        <v>520</v>
      </c>
      <c r="G9" t="s">
        <v>518</v>
      </c>
      <c r="J9">
        <v>95000</v>
      </c>
      <c r="L9">
        <v>2.5000000000000001E-2</v>
      </c>
      <c r="M9">
        <f t="shared" si="1"/>
        <v>2375</v>
      </c>
      <c r="N9" t="s">
        <v>517</v>
      </c>
    </row>
    <row r="10" spans="1:29">
      <c r="A10" t="s">
        <v>11</v>
      </c>
      <c r="B10">
        <v>1744</v>
      </c>
      <c r="C10" t="s">
        <v>507</v>
      </c>
      <c r="D10">
        <v>1049.78</v>
      </c>
      <c r="E10" t="s">
        <v>520</v>
      </c>
      <c r="G10" t="s">
        <v>519</v>
      </c>
      <c r="J10">
        <f t="shared" ref="J10:J73" si="2">D10*I10</f>
        <v>0</v>
      </c>
      <c r="M10">
        <f t="shared" ref="M10:M73" si="3">J10*L10</f>
        <v>0</v>
      </c>
      <c r="N10" t="s">
        <v>517</v>
      </c>
    </row>
    <row r="11" spans="1:29">
      <c r="A11" t="s">
        <v>11</v>
      </c>
      <c r="B11">
        <v>1741</v>
      </c>
      <c r="C11" t="s">
        <v>507</v>
      </c>
      <c r="E11" t="s">
        <v>522</v>
      </c>
      <c r="J11">
        <f t="shared" si="2"/>
        <v>0</v>
      </c>
      <c r="M11">
        <v>1390</v>
      </c>
      <c r="N11" t="s">
        <v>521</v>
      </c>
    </row>
    <row r="12" spans="1:29">
      <c r="A12" t="s">
        <v>523</v>
      </c>
      <c r="B12">
        <v>1742</v>
      </c>
      <c r="C12" t="s">
        <v>507</v>
      </c>
      <c r="E12" t="s">
        <v>524</v>
      </c>
      <c r="J12">
        <v>89000</v>
      </c>
      <c r="L12">
        <v>2.5000000000000001E-2</v>
      </c>
      <c r="M12">
        <f t="shared" si="3"/>
        <v>2225</v>
      </c>
      <c r="N12" t="s">
        <v>525</v>
      </c>
    </row>
    <row r="13" spans="1:29">
      <c r="A13" t="s">
        <v>526</v>
      </c>
      <c r="B13">
        <v>1739</v>
      </c>
      <c r="C13" t="s">
        <v>507</v>
      </c>
      <c r="D13">
        <v>958.53800000000001</v>
      </c>
      <c r="E13" t="s">
        <v>527</v>
      </c>
      <c r="G13" t="s">
        <v>505</v>
      </c>
      <c r="I13">
        <v>23.52</v>
      </c>
      <c r="J13">
        <f t="shared" si="2"/>
        <v>22544.813760000001</v>
      </c>
      <c r="L13">
        <v>2.5000000000000001E-2</v>
      </c>
      <c r="M13">
        <f t="shared" si="3"/>
        <v>563.62034400000005</v>
      </c>
      <c r="N13" t="s">
        <v>516</v>
      </c>
    </row>
    <row r="14" spans="1:29">
      <c r="A14" t="s">
        <v>526</v>
      </c>
      <c r="B14">
        <v>1739</v>
      </c>
      <c r="C14" t="s">
        <v>507</v>
      </c>
      <c r="D14">
        <v>1912.136</v>
      </c>
      <c r="E14" t="s">
        <v>527</v>
      </c>
      <c r="G14" t="s">
        <v>506</v>
      </c>
      <c r="I14">
        <v>23.52</v>
      </c>
      <c r="J14">
        <f t="shared" si="2"/>
        <v>44973.438719999998</v>
      </c>
      <c r="L14">
        <v>2.5000000000000001E-2</v>
      </c>
      <c r="M14">
        <f t="shared" si="3"/>
        <v>1124.3359680000001</v>
      </c>
      <c r="N14" t="s">
        <v>516</v>
      </c>
    </row>
    <row r="15" spans="1:29">
      <c r="A15" t="s">
        <v>526</v>
      </c>
      <c r="B15">
        <v>1743</v>
      </c>
      <c r="C15" t="s">
        <v>507</v>
      </c>
      <c r="D15">
        <v>2999.9209999999998</v>
      </c>
      <c r="E15" t="s">
        <v>527</v>
      </c>
      <c r="G15" t="s">
        <v>528</v>
      </c>
      <c r="I15">
        <v>24</v>
      </c>
      <c r="J15">
        <f t="shared" si="2"/>
        <v>71998.103999999992</v>
      </c>
      <c r="L15">
        <v>0.05</v>
      </c>
      <c r="M15">
        <f t="shared" si="3"/>
        <v>3599.9051999999997</v>
      </c>
    </row>
    <row r="16" spans="1:29">
      <c r="A16" t="s">
        <v>526</v>
      </c>
      <c r="B16">
        <v>1736</v>
      </c>
      <c r="C16" t="s">
        <v>507</v>
      </c>
      <c r="E16" t="s">
        <v>529</v>
      </c>
      <c r="J16">
        <v>132426.89000000001</v>
      </c>
      <c r="L16">
        <v>2.5000000000000001E-2</v>
      </c>
      <c r="M16">
        <f t="shared" si="3"/>
        <v>3310.6722500000005</v>
      </c>
    </row>
    <row r="17" spans="1:14">
      <c r="A17" t="s">
        <v>526</v>
      </c>
      <c r="B17">
        <v>1745</v>
      </c>
      <c r="C17" t="s">
        <v>507</v>
      </c>
      <c r="D17">
        <v>2084.1729999999998</v>
      </c>
      <c r="E17" t="s">
        <v>530</v>
      </c>
      <c r="G17" t="s">
        <v>531</v>
      </c>
      <c r="J17">
        <v>72000</v>
      </c>
      <c r="L17">
        <v>2.5000000000000001E-2</v>
      </c>
      <c r="M17">
        <f t="shared" si="3"/>
        <v>1800</v>
      </c>
    </row>
    <row r="18" spans="1:14">
      <c r="A18" t="s">
        <v>532</v>
      </c>
      <c r="B18">
        <v>1657</v>
      </c>
      <c r="C18" t="s">
        <v>507</v>
      </c>
      <c r="D18">
        <v>1498.9059999999999</v>
      </c>
      <c r="J18">
        <v>209846.84</v>
      </c>
      <c r="L18">
        <v>2.5000000000000001E-2</v>
      </c>
      <c r="M18">
        <f t="shared" si="3"/>
        <v>5246.1710000000003</v>
      </c>
    </row>
    <row r="19" spans="1:14">
      <c r="A19" t="s">
        <v>532</v>
      </c>
      <c r="B19">
        <v>1747</v>
      </c>
      <c r="C19" t="s">
        <v>534</v>
      </c>
      <c r="J19">
        <v>209755</v>
      </c>
      <c r="L19">
        <v>2.5000000000000001E-2</v>
      </c>
      <c r="M19">
        <f t="shared" si="3"/>
        <v>5243.875</v>
      </c>
    </row>
    <row r="20" spans="1:14">
      <c r="A20" t="s">
        <v>533</v>
      </c>
      <c r="B20">
        <v>1737</v>
      </c>
      <c r="C20" t="s">
        <v>535</v>
      </c>
      <c r="J20">
        <v>554625.26</v>
      </c>
      <c r="L20">
        <v>2.5000000000000001E-2</v>
      </c>
      <c r="M20">
        <f t="shared" si="3"/>
        <v>13865.631500000001</v>
      </c>
    </row>
    <row r="21" spans="1:14">
      <c r="A21" t="s">
        <v>575</v>
      </c>
      <c r="B21">
        <v>1744</v>
      </c>
      <c r="C21" t="s">
        <v>507</v>
      </c>
      <c r="D21">
        <v>999.27</v>
      </c>
      <c r="E21" t="s">
        <v>576</v>
      </c>
      <c r="G21" t="s">
        <v>577</v>
      </c>
      <c r="I21" t="s">
        <v>578</v>
      </c>
      <c r="J21">
        <v>45000</v>
      </c>
      <c r="L21">
        <v>2.5000000000000001E-2</v>
      </c>
      <c r="M21">
        <f t="shared" si="3"/>
        <v>1125</v>
      </c>
      <c r="N21" t="s">
        <v>579</v>
      </c>
    </row>
    <row r="22" spans="1:14">
      <c r="A22" t="s">
        <v>526</v>
      </c>
      <c r="B22">
        <v>1802</v>
      </c>
      <c r="C22" t="s">
        <v>507</v>
      </c>
      <c r="D22">
        <v>2997.03</v>
      </c>
      <c r="E22" t="s">
        <v>527</v>
      </c>
      <c r="G22" t="s">
        <v>528</v>
      </c>
      <c r="I22">
        <v>24</v>
      </c>
      <c r="J22">
        <f t="shared" si="2"/>
        <v>71928.72</v>
      </c>
      <c r="L22">
        <v>0.05</v>
      </c>
      <c r="M22">
        <f t="shared" si="3"/>
        <v>3596.4360000000001</v>
      </c>
      <c r="N22" t="s">
        <v>579</v>
      </c>
    </row>
    <row r="23" spans="1:14">
      <c r="C23" t="s">
        <v>507</v>
      </c>
      <c r="J23">
        <f t="shared" si="2"/>
        <v>0</v>
      </c>
      <c r="L23">
        <v>2.5000000000000001E-2</v>
      </c>
      <c r="M23">
        <f t="shared" si="3"/>
        <v>0</v>
      </c>
    </row>
    <row r="24" spans="1:14">
      <c r="C24" t="s">
        <v>507</v>
      </c>
      <c r="J24">
        <f t="shared" si="2"/>
        <v>0</v>
      </c>
      <c r="L24">
        <v>2.5000000000000001E-2</v>
      </c>
      <c r="M24">
        <f t="shared" si="3"/>
        <v>0</v>
      </c>
    </row>
    <row r="25" spans="1:14">
      <c r="J25">
        <f t="shared" si="2"/>
        <v>0</v>
      </c>
      <c r="L25">
        <v>2.5000000000000001E-2</v>
      </c>
      <c r="M25">
        <f t="shared" si="3"/>
        <v>0</v>
      </c>
    </row>
    <row r="26" spans="1:14">
      <c r="J26">
        <f t="shared" si="2"/>
        <v>0</v>
      </c>
      <c r="L26">
        <v>2.5000000000000001E-2</v>
      </c>
      <c r="M26">
        <f t="shared" si="3"/>
        <v>0</v>
      </c>
    </row>
    <row r="27" spans="1:14">
      <c r="J27">
        <f t="shared" si="2"/>
        <v>0</v>
      </c>
      <c r="L27">
        <v>2.5000000000000001E-2</v>
      </c>
      <c r="M27">
        <f t="shared" si="3"/>
        <v>0</v>
      </c>
    </row>
    <row r="28" spans="1:14">
      <c r="J28">
        <f t="shared" si="2"/>
        <v>0</v>
      </c>
      <c r="L28">
        <v>2.5000000000000001E-2</v>
      </c>
      <c r="M28">
        <f t="shared" si="3"/>
        <v>0</v>
      </c>
    </row>
    <row r="29" spans="1:14">
      <c r="J29">
        <f t="shared" si="2"/>
        <v>0</v>
      </c>
      <c r="L29">
        <v>2.5000000000000001E-2</v>
      </c>
      <c r="M29">
        <f t="shared" si="3"/>
        <v>0</v>
      </c>
    </row>
    <row r="30" spans="1:14">
      <c r="J30">
        <f t="shared" si="2"/>
        <v>0</v>
      </c>
      <c r="L30">
        <v>2.5000000000000001E-2</v>
      </c>
      <c r="M30">
        <f t="shared" si="3"/>
        <v>0</v>
      </c>
    </row>
    <row r="31" spans="1:14">
      <c r="J31">
        <f t="shared" si="2"/>
        <v>0</v>
      </c>
      <c r="L31">
        <v>2.5000000000000001E-2</v>
      </c>
      <c r="M31">
        <f t="shared" si="3"/>
        <v>0</v>
      </c>
    </row>
    <row r="32" spans="1:14">
      <c r="J32">
        <f t="shared" si="2"/>
        <v>0</v>
      </c>
      <c r="L32">
        <v>2.5000000000000001E-2</v>
      </c>
      <c r="M32">
        <f t="shared" si="3"/>
        <v>0</v>
      </c>
    </row>
    <row r="33" spans="10:13">
      <c r="J33">
        <f t="shared" si="2"/>
        <v>0</v>
      </c>
      <c r="L33">
        <v>2.5000000000000001E-2</v>
      </c>
      <c r="M33">
        <f t="shared" si="3"/>
        <v>0</v>
      </c>
    </row>
    <row r="34" spans="10:13">
      <c r="J34">
        <f t="shared" si="2"/>
        <v>0</v>
      </c>
      <c r="L34">
        <v>2.5000000000000001E-2</v>
      </c>
      <c r="M34">
        <f t="shared" si="3"/>
        <v>0</v>
      </c>
    </row>
    <row r="35" spans="10:13">
      <c r="J35">
        <f t="shared" si="2"/>
        <v>0</v>
      </c>
      <c r="L35">
        <v>2.5000000000000001E-2</v>
      </c>
      <c r="M35">
        <f t="shared" si="3"/>
        <v>0</v>
      </c>
    </row>
    <row r="36" spans="10:13">
      <c r="J36">
        <f t="shared" si="2"/>
        <v>0</v>
      </c>
      <c r="L36">
        <v>2.5000000000000001E-2</v>
      </c>
      <c r="M36">
        <f t="shared" si="3"/>
        <v>0</v>
      </c>
    </row>
    <row r="37" spans="10:13">
      <c r="J37">
        <f t="shared" si="2"/>
        <v>0</v>
      </c>
      <c r="L37">
        <v>2.5000000000000001E-2</v>
      </c>
      <c r="M37">
        <f t="shared" si="3"/>
        <v>0</v>
      </c>
    </row>
    <row r="38" spans="10:13">
      <c r="J38">
        <f t="shared" si="2"/>
        <v>0</v>
      </c>
      <c r="L38">
        <v>2.5000000000000001E-2</v>
      </c>
      <c r="M38">
        <f t="shared" si="3"/>
        <v>0</v>
      </c>
    </row>
    <row r="39" spans="10:13">
      <c r="J39">
        <f t="shared" si="2"/>
        <v>0</v>
      </c>
      <c r="L39">
        <v>2.5000000000000001E-2</v>
      </c>
      <c r="M39">
        <f t="shared" si="3"/>
        <v>0</v>
      </c>
    </row>
    <row r="40" spans="10:13">
      <c r="J40">
        <f t="shared" si="2"/>
        <v>0</v>
      </c>
      <c r="L40">
        <v>2.5000000000000001E-2</v>
      </c>
      <c r="M40">
        <f t="shared" si="3"/>
        <v>0</v>
      </c>
    </row>
    <row r="41" spans="10:13">
      <c r="J41">
        <f t="shared" si="2"/>
        <v>0</v>
      </c>
      <c r="L41">
        <v>2.5000000000000001E-2</v>
      </c>
      <c r="M41">
        <f t="shared" si="3"/>
        <v>0</v>
      </c>
    </row>
    <row r="42" spans="10:13">
      <c r="J42">
        <f t="shared" si="2"/>
        <v>0</v>
      </c>
      <c r="L42">
        <v>2.5000000000000001E-2</v>
      </c>
      <c r="M42">
        <f t="shared" si="3"/>
        <v>0</v>
      </c>
    </row>
    <row r="43" spans="10:13">
      <c r="J43">
        <f t="shared" si="2"/>
        <v>0</v>
      </c>
      <c r="L43">
        <v>2.5000000000000001E-2</v>
      </c>
      <c r="M43">
        <f t="shared" si="3"/>
        <v>0</v>
      </c>
    </row>
    <row r="44" spans="10:13">
      <c r="J44">
        <f t="shared" si="2"/>
        <v>0</v>
      </c>
      <c r="L44">
        <v>2.5000000000000001E-2</v>
      </c>
      <c r="M44">
        <f t="shared" si="3"/>
        <v>0</v>
      </c>
    </row>
    <row r="45" spans="10:13">
      <c r="J45">
        <f t="shared" si="2"/>
        <v>0</v>
      </c>
      <c r="L45">
        <v>2.5000000000000001E-2</v>
      </c>
      <c r="M45">
        <f t="shared" si="3"/>
        <v>0</v>
      </c>
    </row>
    <row r="46" spans="10:13">
      <c r="J46">
        <f t="shared" si="2"/>
        <v>0</v>
      </c>
      <c r="L46">
        <v>2.5000000000000001E-2</v>
      </c>
      <c r="M46">
        <f t="shared" si="3"/>
        <v>0</v>
      </c>
    </row>
    <row r="47" spans="10:13">
      <c r="J47">
        <f t="shared" si="2"/>
        <v>0</v>
      </c>
      <c r="L47">
        <v>2.5000000000000001E-2</v>
      </c>
      <c r="M47">
        <f t="shared" si="3"/>
        <v>0</v>
      </c>
    </row>
    <row r="48" spans="10:13">
      <c r="J48">
        <f t="shared" si="2"/>
        <v>0</v>
      </c>
      <c r="L48">
        <v>2.5000000000000001E-2</v>
      </c>
      <c r="M48">
        <f t="shared" si="3"/>
        <v>0</v>
      </c>
    </row>
    <row r="49" spans="10:13">
      <c r="J49">
        <f t="shared" si="2"/>
        <v>0</v>
      </c>
      <c r="L49">
        <v>2.5000000000000001E-2</v>
      </c>
      <c r="M49">
        <f t="shared" si="3"/>
        <v>0</v>
      </c>
    </row>
    <row r="50" spans="10:13">
      <c r="J50">
        <f t="shared" si="2"/>
        <v>0</v>
      </c>
      <c r="L50">
        <v>2.5000000000000001E-2</v>
      </c>
      <c r="M50">
        <f t="shared" si="3"/>
        <v>0</v>
      </c>
    </row>
    <row r="51" spans="10:13">
      <c r="J51">
        <f t="shared" si="2"/>
        <v>0</v>
      </c>
      <c r="L51">
        <v>2.5000000000000001E-2</v>
      </c>
      <c r="M51">
        <f t="shared" si="3"/>
        <v>0</v>
      </c>
    </row>
    <row r="52" spans="10:13">
      <c r="J52">
        <f t="shared" si="2"/>
        <v>0</v>
      </c>
      <c r="L52">
        <v>2.5000000000000001E-2</v>
      </c>
      <c r="M52">
        <f t="shared" si="3"/>
        <v>0</v>
      </c>
    </row>
    <row r="53" spans="10:13">
      <c r="J53">
        <f t="shared" si="2"/>
        <v>0</v>
      </c>
      <c r="L53">
        <v>2.5000000000000001E-2</v>
      </c>
      <c r="M53">
        <f t="shared" si="3"/>
        <v>0</v>
      </c>
    </row>
    <row r="54" spans="10:13">
      <c r="J54">
        <f t="shared" si="2"/>
        <v>0</v>
      </c>
      <c r="L54">
        <v>2.5000000000000001E-2</v>
      </c>
      <c r="M54">
        <f t="shared" si="3"/>
        <v>0</v>
      </c>
    </row>
    <row r="55" spans="10:13">
      <c r="J55">
        <f t="shared" si="2"/>
        <v>0</v>
      </c>
      <c r="L55">
        <v>2.5000000000000001E-2</v>
      </c>
      <c r="M55">
        <f t="shared" si="3"/>
        <v>0</v>
      </c>
    </row>
    <row r="56" spans="10:13">
      <c r="J56">
        <f t="shared" si="2"/>
        <v>0</v>
      </c>
      <c r="L56">
        <v>2.5000000000000001E-2</v>
      </c>
      <c r="M56">
        <f t="shared" si="3"/>
        <v>0</v>
      </c>
    </row>
    <row r="57" spans="10:13">
      <c r="J57">
        <f t="shared" si="2"/>
        <v>0</v>
      </c>
      <c r="L57">
        <v>2.5000000000000001E-2</v>
      </c>
      <c r="M57">
        <f t="shared" si="3"/>
        <v>0</v>
      </c>
    </row>
    <row r="58" spans="10:13">
      <c r="J58">
        <f t="shared" si="2"/>
        <v>0</v>
      </c>
      <c r="L58">
        <v>2.5000000000000001E-2</v>
      </c>
      <c r="M58">
        <f t="shared" si="3"/>
        <v>0</v>
      </c>
    </row>
    <row r="59" spans="10:13">
      <c r="J59">
        <f t="shared" si="2"/>
        <v>0</v>
      </c>
      <c r="L59">
        <v>2.5000000000000001E-2</v>
      </c>
      <c r="M59">
        <f t="shared" si="3"/>
        <v>0</v>
      </c>
    </row>
    <row r="60" spans="10:13">
      <c r="J60">
        <f t="shared" si="2"/>
        <v>0</v>
      </c>
      <c r="L60">
        <v>2.5000000000000001E-2</v>
      </c>
      <c r="M60">
        <f t="shared" si="3"/>
        <v>0</v>
      </c>
    </row>
    <row r="61" spans="10:13">
      <c r="J61">
        <f t="shared" si="2"/>
        <v>0</v>
      </c>
      <c r="L61">
        <v>2.5000000000000001E-2</v>
      </c>
      <c r="M61">
        <f t="shared" si="3"/>
        <v>0</v>
      </c>
    </row>
    <row r="62" spans="10:13">
      <c r="J62">
        <f t="shared" si="2"/>
        <v>0</v>
      </c>
      <c r="L62">
        <v>2.5000000000000001E-2</v>
      </c>
      <c r="M62">
        <f t="shared" si="3"/>
        <v>0</v>
      </c>
    </row>
    <row r="63" spans="10:13">
      <c r="J63">
        <f t="shared" si="2"/>
        <v>0</v>
      </c>
      <c r="L63">
        <v>2.5000000000000001E-2</v>
      </c>
      <c r="M63">
        <f t="shared" si="3"/>
        <v>0</v>
      </c>
    </row>
    <row r="64" spans="10:13">
      <c r="J64">
        <f t="shared" si="2"/>
        <v>0</v>
      </c>
      <c r="L64">
        <v>2.5000000000000001E-2</v>
      </c>
      <c r="M64">
        <f t="shared" si="3"/>
        <v>0</v>
      </c>
    </row>
    <row r="65" spans="10:13">
      <c r="J65">
        <f t="shared" si="2"/>
        <v>0</v>
      </c>
      <c r="L65">
        <v>2.5000000000000001E-2</v>
      </c>
      <c r="M65">
        <f t="shared" si="3"/>
        <v>0</v>
      </c>
    </row>
    <row r="66" spans="10:13">
      <c r="J66">
        <f t="shared" si="2"/>
        <v>0</v>
      </c>
      <c r="L66">
        <v>2.5000000000000001E-2</v>
      </c>
      <c r="M66">
        <f t="shared" si="3"/>
        <v>0</v>
      </c>
    </row>
    <row r="67" spans="10:13">
      <c r="J67">
        <f t="shared" si="2"/>
        <v>0</v>
      </c>
      <c r="L67">
        <v>2.5000000000000001E-2</v>
      </c>
      <c r="M67">
        <f t="shared" si="3"/>
        <v>0</v>
      </c>
    </row>
    <row r="68" spans="10:13">
      <c r="J68">
        <f t="shared" si="2"/>
        <v>0</v>
      </c>
      <c r="L68">
        <v>2.5000000000000001E-2</v>
      </c>
      <c r="M68">
        <f t="shared" si="3"/>
        <v>0</v>
      </c>
    </row>
    <row r="69" spans="10:13">
      <c r="J69">
        <f t="shared" si="2"/>
        <v>0</v>
      </c>
      <c r="L69">
        <v>2.5000000000000001E-2</v>
      </c>
      <c r="M69">
        <f t="shared" si="3"/>
        <v>0</v>
      </c>
    </row>
    <row r="70" spans="10:13">
      <c r="J70">
        <f t="shared" si="2"/>
        <v>0</v>
      </c>
      <c r="L70">
        <v>2.5000000000000001E-2</v>
      </c>
      <c r="M70">
        <f t="shared" si="3"/>
        <v>0</v>
      </c>
    </row>
    <row r="71" spans="10:13">
      <c r="J71">
        <f t="shared" si="2"/>
        <v>0</v>
      </c>
      <c r="L71">
        <v>2.5000000000000001E-2</v>
      </c>
      <c r="M71">
        <f t="shared" si="3"/>
        <v>0</v>
      </c>
    </row>
    <row r="72" spans="10:13">
      <c r="J72">
        <f t="shared" si="2"/>
        <v>0</v>
      </c>
      <c r="L72">
        <v>2.5000000000000001E-2</v>
      </c>
      <c r="M72">
        <f t="shared" si="3"/>
        <v>0</v>
      </c>
    </row>
    <row r="73" spans="10:13">
      <c r="J73">
        <f t="shared" si="2"/>
        <v>0</v>
      </c>
      <c r="L73">
        <v>2.5000000000000001E-2</v>
      </c>
      <c r="M73">
        <f t="shared" si="3"/>
        <v>0</v>
      </c>
    </row>
    <row r="74" spans="10:13">
      <c r="J74">
        <f t="shared" ref="J74:J137" si="4">D74*I74</f>
        <v>0</v>
      </c>
      <c r="L74">
        <v>2.5000000000000001E-2</v>
      </c>
      <c r="M74">
        <f t="shared" ref="M74:M137" si="5">J74*L74</f>
        <v>0</v>
      </c>
    </row>
    <row r="75" spans="10:13">
      <c r="J75">
        <f t="shared" si="4"/>
        <v>0</v>
      </c>
      <c r="L75">
        <v>2.5000000000000001E-2</v>
      </c>
      <c r="M75">
        <f t="shared" si="5"/>
        <v>0</v>
      </c>
    </row>
    <row r="76" spans="10:13">
      <c r="J76">
        <f t="shared" si="4"/>
        <v>0</v>
      </c>
      <c r="L76">
        <v>2.5000000000000001E-2</v>
      </c>
      <c r="M76">
        <f t="shared" si="5"/>
        <v>0</v>
      </c>
    </row>
    <row r="77" spans="10:13">
      <c r="J77">
        <f t="shared" si="4"/>
        <v>0</v>
      </c>
      <c r="L77">
        <v>2.5000000000000001E-2</v>
      </c>
      <c r="M77">
        <f t="shared" si="5"/>
        <v>0</v>
      </c>
    </row>
    <row r="78" spans="10:13">
      <c r="J78">
        <f t="shared" si="4"/>
        <v>0</v>
      </c>
      <c r="L78">
        <v>2.5000000000000001E-2</v>
      </c>
      <c r="M78">
        <f t="shared" si="5"/>
        <v>0</v>
      </c>
    </row>
    <row r="79" spans="10:13">
      <c r="J79">
        <f t="shared" si="4"/>
        <v>0</v>
      </c>
      <c r="L79">
        <v>2.5000000000000001E-2</v>
      </c>
      <c r="M79">
        <f t="shared" si="5"/>
        <v>0</v>
      </c>
    </row>
    <row r="80" spans="10:13">
      <c r="J80">
        <f t="shared" si="4"/>
        <v>0</v>
      </c>
      <c r="L80">
        <v>2.5000000000000001E-2</v>
      </c>
      <c r="M80">
        <f t="shared" si="5"/>
        <v>0</v>
      </c>
    </row>
    <row r="81" spans="10:13">
      <c r="J81">
        <f t="shared" si="4"/>
        <v>0</v>
      </c>
      <c r="L81">
        <v>2.5000000000000001E-2</v>
      </c>
      <c r="M81">
        <f t="shared" si="5"/>
        <v>0</v>
      </c>
    </row>
    <row r="82" spans="10:13">
      <c r="J82">
        <f t="shared" si="4"/>
        <v>0</v>
      </c>
      <c r="L82">
        <v>2.5000000000000001E-2</v>
      </c>
      <c r="M82">
        <f t="shared" si="5"/>
        <v>0</v>
      </c>
    </row>
    <row r="83" spans="10:13">
      <c r="J83">
        <f t="shared" si="4"/>
        <v>0</v>
      </c>
      <c r="L83">
        <v>2.5000000000000001E-2</v>
      </c>
      <c r="M83">
        <f t="shared" si="5"/>
        <v>0</v>
      </c>
    </row>
    <row r="84" spans="10:13">
      <c r="J84">
        <f t="shared" si="4"/>
        <v>0</v>
      </c>
      <c r="L84">
        <v>2.5000000000000001E-2</v>
      </c>
      <c r="M84">
        <f t="shared" si="5"/>
        <v>0</v>
      </c>
    </row>
    <row r="85" spans="10:13">
      <c r="J85">
        <f t="shared" si="4"/>
        <v>0</v>
      </c>
      <c r="L85">
        <v>2.5000000000000001E-2</v>
      </c>
      <c r="M85">
        <f t="shared" si="5"/>
        <v>0</v>
      </c>
    </row>
    <row r="86" spans="10:13">
      <c r="J86">
        <f t="shared" si="4"/>
        <v>0</v>
      </c>
      <c r="L86">
        <v>2.5000000000000001E-2</v>
      </c>
      <c r="M86">
        <f t="shared" si="5"/>
        <v>0</v>
      </c>
    </row>
    <row r="87" spans="10:13">
      <c r="J87">
        <f t="shared" si="4"/>
        <v>0</v>
      </c>
      <c r="L87">
        <v>2.5000000000000001E-2</v>
      </c>
      <c r="M87">
        <f t="shared" si="5"/>
        <v>0</v>
      </c>
    </row>
    <row r="88" spans="10:13">
      <c r="J88">
        <f t="shared" si="4"/>
        <v>0</v>
      </c>
      <c r="L88">
        <v>2.5000000000000001E-2</v>
      </c>
      <c r="M88">
        <f t="shared" si="5"/>
        <v>0</v>
      </c>
    </row>
    <row r="89" spans="10:13">
      <c r="J89">
        <f t="shared" si="4"/>
        <v>0</v>
      </c>
      <c r="L89">
        <v>2.5000000000000001E-2</v>
      </c>
      <c r="M89">
        <f t="shared" si="5"/>
        <v>0</v>
      </c>
    </row>
    <row r="90" spans="10:13">
      <c r="J90">
        <f t="shared" si="4"/>
        <v>0</v>
      </c>
      <c r="L90">
        <v>2.5000000000000001E-2</v>
      </c>
      <c r="M90">
        <f t="shared" si="5"/>
        <v>0</v>
      </c>
    </row>
    <row r="91" spans="10:13">
      <c r="J91">
        <f t="shared" si="4"/>
        <v>0</v>
      </c>
      <c r="L91">
        <v>2.5000000000000001E-2</v>
      </c>
      <c r="M91">
        <f t="shared" si="5"/>
        <v>0</v>
      </c>
    </row>
    <row r="92" spans="10:13">
      <c r="J92">
        <f t="shared" si="4"/>
        <v>0</v>
      </c>
      <c r="L92">
        <v>2.5000000000000001E-2</v>
      </c>
      <c r="M92">
        <f t="shared" si="5"/>
        <v>0</v>
      </c>
    </row>
    <row r="93" spans="10:13">
      <c r="J93">
        <f t="shared" si="4"/>
        <v>0</v>
      </c>
      <c r="L93">
        <v>2.5000000000000001E-2</v>
      </c>
      <c r="M93">
        <f t="shared" si="5"/>
        <v>0</v>
      </c>
    </row>
    <row r="94" spans="10:13">
      <c r="J94">
        <f t="shared" si="4"/>
        <v>0</v>
      </c>
      <c r="L94">
        <v>2.5000000000000001E-2</v>
      </c>
      <c r="M94">
        <f t="shared" si="5"/>
        <v>0</v>
      </c>
    </row>
    <row r="95" spans="10:13">
      <c r="J95">
        <f t="shared" si="4"/>
        <v>0</v>
      </c>
      <c r="L95">
        <v>2.5000000000000001E-2</v>
      </c>
      <c r="M95">
        <f t="shared" si="5"/>
        <v>0</v>
      </c>
    </row>
    <row r="96" spans="10:13">
      <c r="J96">
        <f t="shared" si="4"/>
        <v>0</v>
      </c>
      <c r="L96">
        <v>2.5000000000000001E-2</v>
      </c>
      <c r="M96">
        <f t="shared" si="5"/>
        <v>0</v>
      </c>
    </row>
    <row r="97" spans="10:13">
      <c r="J97">
        <f t="shared" si="4"/>
        <v>0</v>
      </c>
      <c r="L97">
        <v>2.5000000000000001E-2</v>
      </c>
      <c r="M97">
        <f t="shared" si="5"/>
        <v>0</v>
      </c>
    </row>
    <row r="98" spans="10:13">
      <c r="J98">
        <f t="shared" si="4"/>
        <v>0</v>
      </c>
      <c r="L98">
        <v>2.5000000000000001E-2</v>
      </c>
      <c r="M98">
        <f t="shared" si="5"/>
        <v>0</v>
      </c>
    </row>
    <row r="99" spans="10:13">
      <c r="J99">
        <f t="shared" si="4"/>
        <v>0</v>
      </c>
      <c r="L99">
        <v>2.5000000000000001E-2</v>
      </c>
      <c r="M99">
        <f t="shared" si="5"/>
        <v>0</v>
      </c>
    </row>
    <row r="100" spans="10:13">
      <c r="J100">
        <f t="shared" si="4"/>
        <v>0</v>
      </c>
      <c r="L100">
        <v>2.5000000000000001E-2</v>
      </c>
      <c r="M100">
        <f t="shared" si="5"/>
        <v>0</v>
      </c>
    </row>
    <row r="101" spans="10:13">
      <c r="J101">
        <f t="shared" si="4"/>
        <v>0</v>
      </c>
      <c r="L101">
        <v>2.5000000000000001E-2</v>
      </c>
      <c r="M101">
        <f t="shared" si="5"/>
        <v>0</v>
      </c>
    </row>
    <row r="102" spans="10:13">
      <c r="J102">
        <f t="shared" si="4"/>
        <v>0</v>
      </c>
      <c r="L102">
        <v>2.5000000000000001E-2</v>
      </c>
      <c r="M102">
        <f t="shared" si="5"/>
        <v>0</v>
      </c>
    </row>
    <row r="103" spans="10:13">
      <c r="J103">
        <f t="shared" si="4"/>
        <v>0</v>
      </c>
      <c r="L103">
        <v>2.5000000000000001E-2</v>
      </c>
      <c r="M103">
        <f t="shared" si="5"/>
        <v>0</v>
      </c>
    </row>
    <row r="104" spans="10:13">
      <c r="J104">
        <f t="shared" si="4"/>
        <v>0</v>
      </c>
      <c r="L104">
        <v>2.5000000000000001E-2</v>
      </c>
      <c r="M104">
        <f t="shared" si="5"/>
        <v>0</v>
      </c>
    </row>
    <row r="105" spans="10:13">
      <c r="J105">
        <f t="shared" si="4"/>
        <v>0</v>
      </c>
      <c r="L105">
        <v>2.5000000000000001E-2</v>
      </c>
      <c r="M105">
        <f t="shared" si="5"/>
        <v>0</v>
      </c>
    </row>
    <row r="106" spans="10:13">
      <c r="J106">
        <f t="shared" si="4"/>
        <v>0</v>
      </c>
      <c r="L106">
        <v>2.5000000000000001E-2</v>
      </c>
      <c r="M106">
        <f t="shared" si="5"/>
        <v>0</v>
      </c>
    </row>
    <row r="107" spans="10:13">
      <c r="J107">
        <f t="shared" si="4"/>
        <v>0</v>
      </c>
      <c r="L107">
        <v>2.5000000000000001E-2</v>
      </c>
      <c r="M107">
        <f t="shared" si="5"/>
        <v>0</v>
      </c>
    </row>
    <row r="108" spans="10:13">
      <c r="J108">
        <f t="shared" si="4"/>
        <v>0</v>
      </c>
      <c r="L108">
        <v>2.5000000000000001E-2</v>
      </c>
      <c r="M108">
        <f t="shared" si="5"/>
        <v>0</v>
      </c>
    </row>
    <row r="109" spans="10:13">
      <c r="J109">
        <f t="shared" si="4"/>
        <v>0</v>
      </c>
      <c r="L109">
        <v>2.5000000000000001E-2</v>
      </c>
      <c r="M109">
        <f t="shared" si="5"/>
        <v>0</v>
      </c>
    </row>
    <row r="110" spans="10:13">
      <c r="J110">
        <f t="shared" si="4"/>
        <v>0</v>
      </c>
      <c r="L110">
        <v>2.5000000000000001E-2</v>
      </c>
      <c r="M110">
        <f t="shared" si="5"/>
        <v>0</v>
      </c>
    </row>
    <row r="111" spans="10:13">
      <c r="J111">
        <f t="shared" si="4"/>
        <v>0</v>
      </c>
      <c r="L111">
        <v>2.5000000000000001E-2</v>
      </c>
      <c r="M111">
        <f t="shared" si="5"/>
        <v>0</v>
      </c>
    </row>
    <row r="112" spans="10:13">
      <c r="J112">
        <f t="shared" si="4"/>
        <v>0</v>
      </c>
      <c r="L112">
        <v>2.5000000000000001E-2</v>
      </c>
      <c r="M112">
        <f t="shared" si="5"/>
        <v>0</v>
      </c>
    </row>
    <row r="113" spans="10:13">
      <c r="J113">
        <f t="shared" si="4"/>
        <v>0</v>
      </c>
      <c r="L113">
        <v>2.5000000000000001E-2</v>
      </c>
      <c r="M113">
        <f t="shared" si="5"/>
        <v>0</v>
      </c>
    </row>
    <row r="114" spans="10:13">
      <c r="J114">
        <f t="shared" si="4"/>
        <v>0</v>
      </c>
      <c r="L114">
        <v>2.5000000000000001E-2</v>
      </c>
      <c r="M114">
        <f t="shared" si="5"/>
        <v>0</v>
      </c>
    </row>
    <row r="115" spans="10:13">
      <c r="J115">
        <f t="shared" si="4"/>
        <v>0</v>
      </c>
      <c r="L115">
        <v>2.5000000000000001E-2</v>
      </c>
      <c r="M115">
        <f t="shared" si="5"/>
        <v>0</v>
      </c>
    </row>
    <row r="116" spans="10:13">
      <c r="J116">
        <f t="shared" si="4"/>
        <v>0</v>
      </c>
      <c r="L116">
        <v>2.5000000000000001E-2</v>
      </c>
      <c r="M116">
        <f t="shared" si="5"/>
        <v>0</v>
      </c>
    </row>
    <row r="117" spans="10:13">
      <c r="J117">
        <f t="shared" si="4"/>
        <v>0</v>
      </c>
      <c r="L117">
        <v>2.5000000000000001E-2</v>
      </c>
      <c r="M117">
        <f t="shared" si="5"/>
        <v>0</v>
      </c>
    </row>
    <row r="118" spans="10:13">
      <c r="J118">
        <f t="shared" si="4"/>
        <v>0</v>
      </c>
      <c r="L118">
        <v>2.5000000000000001E-2</v>
      </c>
      <c r="M118">
        <f t="shared" si="5"/>
        <v>0</v>
      </c>
    </row>
    <row r="119" spans="10:13">
      <c r="J119">
        <f t="shared" si="4"/>
        <v>0</v>
      </c>
      <c r="L119">
        <v>2.5000000000000001E-2</v>
      </c>
      <c r="M119">
        <f t="shared" si="5"/>
        <v>0</v>
      </c>
    </row>
    <row r="120" spans="10:13">
      <c r="J120">
        <f t="shared" si="4"/>
        <v>0</v>
      </c>
      <c r="L120">
        <v>2.5000000000000001E-2</v>
      </c>
      <c r="M120">
        <f t="shared" si="5"/>
        <v>0</v>
      </c>
    </row>
    <row r="121" spans="10:13">
      <c r="J121">
        <f t="shared" si="4"/>
        <v>0</v>
      </c>
      <c r="L121">
        <v>2.5000000000000001E-2</v>
      </c>
      <c r="M121">
        <f t="shared" si="5"/>
        <v>0</v>
      </c>
    </row>
    <row r="122" spans="10:13">
      <c r="J122">
        <f t="shared" si="4"/>
        <v>0</v>
      </c>
      <c r="L122">
        <v>2.5000000000000001E-2</v>
      </c>
      <c r="M122">
        <f t="shared" si="5"/>
        <v>0</v>
      </c>
    </row>
    <row r="123" spans="10:13">
      <c r="J123">
        <f t="shared" si="4"/>
        <v>0</v>
      </c>
      <c r="L123">
        <v>2.5000000000000001E-2</v>
      </c>
      <c r="M123">
        <f t="shared" si="5"/>
        <v>0</v>
      </c>
    </row>
    <row r="124" spans="10:13">
      <c r="J124">
        <f t="shared" si="4"/>
        <v>0</v>
      </c>
      <c r="L124">
        <v>2.5000000000000001E-2</v>
      </c>
      <c r="M124">
        <f t="shared" si="5"/>
        <v>0</v>
      </c>
    </row>
    <row r="125" spans="10:13">
      <c r="J125">
        <f t="shared" si="4"/>
        <v>0</v>
      </c>
      <c r="L125">
        <v>2.5000000000000001E-2</v>
      </c>
      <c r="M125">
        <f t="shared" si="5"/>
        <v>0</v>
      </c>
    </row>
    <row r="126" spans="10:13">
      <c r="J126">
        <f t="shared" si="4"/>
        <v>0</v>
      </c>
      <c r="L126">
        <v>2.5000000000000001E-2</v>
      </c>
      <c r="M126">
        <f t="shared" si="5"/>
        <v>0</v>
      </c>
    </row>
    <row r="127" spans="10:13">
      <c r="J127">
        <f t="shared" si="4"/>
        <v>0</v>
      </c>
      <c r="L127">
        <v>2.5000000000000001E-2</v>
      </c>
      <c r="M127">
        <f t="shared" si="5"/>
        <v>0</v>
      </c>
    </row>
    <row r="128" spans="10:13">
      <c r="J128">
        <f t="shared" si="4"/>
        <v>0</v>
      </c>
      <c r="L128">
        <v>2.5000000000000001E-2</v>
      </c>
      <c r="M128">
        <f t="shared" si="5"/>
        <v>0</v>
      </c>
    </row>
    <row r="129" spans="10:13">
      <c r="J129">
        <f t="shared" si="4"/>
        <v>0</v>
      </c>
      <c r="L129">
        <v>2.5000000000000001E-2</v>
      </c>
      <c r="M129">
        <f t="shared" si="5"/>
        <v>0</v>
      </c>
    </row>
    <row r="130" spans="10:13">
      <c r="J130">
        <f t="shared" si="4"/>
        <v>0</v>
      </c>
      <c r="L130">
        <v>2.5000000000000001E-2</v>
      </c>
      <c r="M130">
        <f t="shared" si="5"/>
        <v>0</v>
      </c>
    </row>
    <row r="131" spans="10:13">
      <c r="J131">
        <f t="shared" si="4"/>
        <v>0</v>
      </c>
      <c r="L131">
        <v>2.5000000000000001E-2</v>
      </c>
      <c r="M131">
        <f t="shared" si="5"/>
        <v>0</v>
      </c>
    </row>
    <row r="132" spans="10:13">
      <c r="J132">
        <f t="shared" si="4"/>
        <v>0</v>
      </c>
      <c r="L132">
        <v>2.5000000000000001E-2</v>
      </c>
      <c r="M132">
        <f t="shared" si="5"/>
        <v>0</v>
      </c>
    </row>
    <row r="133" spans="10:13">
      <c r="J133">
        <f t="shared" si="4"/>
        <v>0</v>
      </c>
      <c r="L133">
        <v>2.5000000000000001E-2</v>
      </c>
      <c r="M133">
        <f t="shared" si="5"/>
        <v>0</v>
      </c>
    </row>
    <row r="134" spans="10:13">
      <c r="J134">
        <f t="shared" si="4"/>
        <v>0</v>
      </c>
      <c r="L134">
        <v>2.5000000000000001E-2</v>
      </c>
      <c r="M134">
        <f t="shared" si="5"/>
        <v>0</v>
      </c>
    </row>
    <row r="135" spans="10:13">
      <c r="J135">
        <f t="shared" si="4"/>
        <v>0</v>
      </c>
      <c r="L135">
        <v>2.5000000000000001E-2</v>
      </c>
      <c r="M135">
        <f t="shared" si="5"/>
        <v>0</v>
      </c>
    </row>
    <row r="136" spans="10:13">
      <c r="J136">
        <f t="shared" si="4"/>
        <v>0</v>
      </c>
      <c r="L136">
        <v>2.5000000000000001E-2</v>
      </c>
      <c r="M136">
        <f t="shared" si="5"/>
        <v>0</v>
      </c>
    </row>
    <row r="137" spans="10:13">
      <c r="J137">
        <f t="shared" si="4"/>
        <v>0</v>
      </c>
      <c r="L137">
        <v>2.5000000000000001E-2</v>
      </c>
      <c r="M137">
        <f t="shared" si="5"/>
        <v>0</v>
      </c>
    </row>
    <row r="138" spans="10:13">
      <c r="J138">
        <f t="shared" ref="J138:J201" si="6">D138*I138</f>
        <v>0</v>
      </c>
      <c r="L138">
        <v>2.5000000000000001E-2</v>
      </c>
      <c r="M138">
        <f t="shared" ref="M138:M201" si="7">J138*L138</f>
        <v>0</v>
      </c>
    </row>
    <row r="139" spans="10:13">
      <c r="J139">
        <f t="shared" si="6"/>
        <v>0</v>
      </c>
      <c r="L139">
        <v>2.5000000000000001E-2</v>
      </c>
      <c r="M139">
        <f t="shared" si="7"/>
        <v>0</v>
      </c>
    </row>
    <row r="140" spans="10:13">
      <c r="J140">
        <f t="shared" si="6"/>
        <v>0</v>
      </c>
      <c r="L140">
        <v>2.5000000000000001E-2</v>
      </c>
      <c r="M140">
        <f t="shared" si="7"/>
        <v>0</v>
      </c>
    </row>
    <row r="141" spans="10:13">
      <c r="J141">
        <f t="shared" si="6"/>
        <v>0</v>
      </c>
      <c r="L141">
        <v>2.5000000000000001E-2</v>
      </c>
      <c r="M141">
        <f t="shared" si="7"/>
        <v>0</v>
      </c>
    </row>
    <row r="142" spans="10:13">
      <c r="J142">
        <f t="shared" si="6"/>
        <v>0</v>
      </c>
      <c r="L142">
        <v>2.5000000000000001E-2</v>
      </c>
      <c r="M142">
        <f t="shared" si="7"/>
        <v>0</v>
      </c>
    </row>
    <row r="143" spans="10:13">
      <c r="J143">
        <f t="shared" si="6"/>
        <v>0</v>
      </c>
      <c r="L143">
        <v>2.5000000000000001E-2</v>
      </c>
      <c r="M143">
        <f t="shared" si="7"/>
        <v>0</v>
      </c>
    </row>
    <row r="144" spans="10:13">
      <c r="J144">
        <f t="shared" si="6"/>
        <v>0</v>
      </c>
      <c r="L144">
        <v>2.5000000000000001E-2</v>
      </c>
      <c r="M144">
        <f t="shared" si="7"/>
        <v>0</v>
      </c>
    </row>
    <row r="145" spans="10:13">
      <c r="J145">
        <f t="shared" si="6"/>
        <v>0</v>
      </c>
      <c r="L145">
        <v>2.5000000000000001E-2</v>
      </c>
      <c r="M145">
        <f t="shared" si="7"/>
        <v>0</v>
      </c>
    </row>
    <row r="146" spans="10:13">
      <c r="J146">
        <f t="shared" si="6"/>
        <v>0</v>
      </c>
      <c r="L146">
        <v>2.5000000000000001E-2</v>
      </c>
      <c r="M146">
        <f t="shared" si="7"/>
        <v>0</v>
      </c>
    </row>
    <row r="147" spans="10:13">
      <c r="J147">
        <f t="shared" si="6"/>
        <v>0</v>
      </c>
      <c r="L147">
        <v>2.5000000000000001E-2</v>
      </c>
      <c r="M147">
        <f t="shared" si="7"/>
        <v>0</v>
      </c>
    </row>
    <row r="148" spans="10:13">
      <c r="J148">
        <f t="shared" si="6"/>
        <v>0</v>
      </c>
      <c r="L148">
        <v>2.5000000000000001E-2</v>
      </c>
      <c r="M148">
        <f t="shared" si="7"/>
        <v>0</v>
      </c>
    </row>
    <row r="149" spans="10:13">
      <c r="J149">
        <f t="shared" si="6"/>
        <v>0</v>
      </c>
      <c r="L149">
        <v>2.5000000000000001E-2</v>
      </c>
      <c r="M149">
        <f t="shared" si="7"/>
        <v>0</v>
      </c>
    </row>
    <row r="150" spans="10:13">
      <c r="J150">
        <f t="shared" si="6"/>
        <v>0</v>
      </c>
      <c r="L150">
        <v>2.5000000000000001E-2</v>
      </c>
      <c r="M150">
        <f t="shared" si="7"/>
        <v>0</v>
      </c>
    </row>
    <row r="151" spans="10:13">
      <c r="J151">
        <f t="shared" si="6"/>
        <v>0</v>
      </c>
      <c r="L151">
        <v>2.5000000000000001E-2</v>
      </c>
      <c r="M151">
        <f t="shared" si="7"/>
        <v>0</v>
      </c>
    </row>
    <row r="152" spans="10:13">
      <c r="J152">
        <f t="shared" si="6"/>
        <v>0</v>
      </c>
      <c r="L152">
        <v>2.5000000000000001E-2</v>
      </c>
      <c r="M152">
        <f t="shared" si="7"/>
        <v>0</v>
      </c>
    </row>
    <row r="153" spans="10:13">
      <c r="J153">
        <f t="shared" si="6"/>
        <v>0</v>
      </c>
      <c r="L153">
        <v>2.5000000000000001E-2</v>
      </c>
      <c r="M153">
        <f t="shared" si="7"/>
        <v>0</v>
      </c>
    </row>
    <row r="154" spans="10:13">
      <c r="J154">
        <f t="shared" si="6"/>
        <v>0</v>
      </c>
      <c r="L154">
        <v>2.5000000000000001E-2</v>
      </c>
      <c r="M154">
        <f t="shared" si="7"/>
        <v>0</v>
      </c>
    </row>
    <row r="155" spans="10:13">
      <c r="J155">
        <f t="shared" si="6"/>
        <v>0</v>
      </c>
      <c r="L155">
        <v>2.5000000000000001E-2</v>
      </c>
      <c r="M155">
        <f t="shared" si="7"/>
        <v>0</v>
      </c>
    </row>
    <row r="156" spans="10:13">
      <c r="J156">
        <f t="shared" si="6"/>
        <v>0</v>
      </c>
      <c r="L156">
        <v>2.5000000000000001E-2</v>
      </c>
      <c r="M156">
        <f t="shared" si="7"/>
        <v>0</v>
      </c>
    </row>
    <row r="157" spans="10:13">
      <c r="J157">
        <f t="shared" si="6"/>
        <v>0</v>
      </c>
      <c r="L157">
        <v>2.5000000000000001E-2</v>
      </c>
      <c r="M157">
        <f t="shared" si="7"/>
        <v>0</v>
      </c>
    </row>
    <row r="158" spans="10:13">
      <c r="J158">
        <f t="shared" si="6"/>
        <v>0</v>
      </c>
      <c r="L158">
        <v>2.5000000000000001E-2</v>
      </c>
      <c r="M158">
        <f t="shared" si="7"/>
        <v>0</v>
      </c>
    </row>
    <row r="159" spans="10:13">
      <c r="J159">
        <f t="shared" si="6"/>
        <v>0</v>
      </c>
      <c r="L159">
        <v>2.5000000000000001E-2</v>
      </c>
      <c r="M159">
        <f t="shared" si="7"/>
        <v>0</v>
      </c>
    </row>
    <row r="160" spans="10:13">
      <c r="J160">
        <f t="shared" si="6"/>
        <v>0</v>
      </c>
      <c r="L160">
        <v>2.5000000000000001E-2</v>
      </c>
      <c r="M160">
        <f t="shared" si="7"/>
        <v>0</v>
      </c>
    </row>
    <row r="161" spans="10:13">
      <c r="J161">
        <f t="shared" si="6"/>
        <v>0</v>
      </c>
      <c r="L161">
        <v>2.5000000000000001E-2</v>
      </c>
      <c r="M161">
        <f t="shared" si="7"/>
        <v>0</v>
      </c>
    </row>
    <row r="162" spans="10:13">
      <c r="J162">
        <f t="shared" si="6"/>
        <v>0</v>
      </c>
      <c r="L162">
        <v>2.5000000000000001E-2</v>
      </c>
      <c r="M162">
        <f t="shared" si="7"/>
        <v>0</v>
      </c>
    </row>
    <row r="163" spans="10:13">
      <c r="J163">
        <f t="shared" si="6"/>
        <v>0</v>
      </c>
      <c r="L163">
        <v>2.5000000000000001E-2</v>
      </c>
      <c r="M163">
        <f t="shared" si="7"/>
        <v>0</v>
      </c>
    </row>
    <row r="164" spans="10:13">
      <c r="J164">
        <f t="shared" si="6"/>
        <v>0</v>
      </c>
      <c r="L164">
        <v>2.5000000000000001E-2</v>
      </c>
      <c r="M164">
        <f t="shared" si="7"/>
        <v>0</v>
      </c>
    </row>
    <row r="165" spans="10:13">
      <c r="J165">
        <f t="shared" si="6"/>
        <v>0</v>
      </c>
      <c r="L165">
        <v>2.5000000000000001E-2</v>
      </c>
      <c r="M165">
        <f t="shared" si="7"/>
        <v>0</v>
      </c>
    </row>
    <row r="166" spans="10:13">
      <c r="J166">
        <f t="shared" si="6"/>
        <v>0</v>
      </c>
      <c r="L166">
        <v>2.5000000000000001E-2</v>
      </c>
      <c r="M166">
        <f t="shared" si="7"/>
        <v>0</v>
      </c>
    </row>
    <row r="167" spans="10:13">
      <c r="J167">
        <f t="shared" si="6"/>
        <v>0</v>
      </c>
      <c r="L167">
        <v>2.5000000000000001E-2</v>
      </c>
      <c r="M167">
        <f t="shared" si="7"/>
        <v>0</v>
      </c>
    </row>
    <row r="168" spans="10:13">
      <c r="J168">
        <f t="shared" si="6"/>
        <v>0</v>
      </c>
      <c r="L168">
        <v>2.5000000000000001E-2</v>
      </c>
      <c r="M168">
        <f t="shared" si="7"/>
        <v>0</v>
      </c>
    </row>
    <row r="169" spans="10:13">
      <c r="J169">
        <f t="shared" si="6"/>
        <v>0</v>
      </c>
      <c r="L169">
        <v>2.5000000000000001E-2</v>
      </c>
      <c r="M169">
        <f t="shared" si="7"/>
        <v>0</v>
      </c>
    </row>
    <row r="170" spans="10:13">
      <c r="J170">
        <f t="shared" si="6"/>
        <v>0</v>
      </c>
      <c r="L170">
        <v>2.5000000000000001E-2</v>
      </c>
      <c r="M170">
        <f t="shared" si="7"/>
        <v>0</v>
      </c>
    </row>
    <row r="171" spans="10:13">
      <c r="J171">
        <f t="shared" si="6"/>
        <v>0</v>
      </c>
      <c r="L171">
        <v>2.5000000000000001E-2</v>
      </c>
      <c r="M171">
        <f t="shared" si="7"/>
        <v>0</v>
      </c>
    </row>
    <row r="172" spans="10:13">
      <c r="J172">
        <f t="shared" si="6"/>
        <v>0</v>
      </c>
      <c r="L172">
        <v>2.5000000000000001E-2</v>
      </c>
      <c r="M172">
        <f t="shared" si="7"/>
        <v>0</v>
      </c>
    </row>
    <row r="173" spans="10:13">
      <c r="J173">
        <f t="shared" si="6"/>
        <v>0</v>
      </c>
      <c r="L173">
        <v>2.5000000000000001E-2</v>
      </c>
      <c r="M173">
        <f t="shared" si="7"/>
        <v>0</v>
      </c>
    </row>
    <row r="174" spans="10:13">
      <c r="J174">
        <f t="shared" si="6"/>
        <v>0</v>
      </c>
      <c r="L174">
        <v>2.5000000000000001E-2</v>
      </c>
      <c r="M174">
        <f t="shared" si="7"/>
        <v>0</v>
      </c>
    </row>
    <row r="175" spans="10:13">
      <c r="J175">
        <f t="shared" si="6"/>
        <v>0</v>
      </c>
      <c r="L175">
        <v>2.5000000000000001E-2</v>
      </c>
      <c r="M175">
        <f t="shared" si="7"/>
        <v>0</v>
      </c>
    </row>
    <row r="176" spans="10:13">
      <c r="J176">
        <f t="shared" si="6"/>
        <v>0</v>
      </c>
      <c r="L176">
        <v>2.5000000000000001E-2</v>
      </c>
      <c r="M176">
        <f t="shared" si="7"/>
        <v>0</v>
      </c>
    </row>
    <row r="177" spans="10:13">
      <c r="J177">
        <f t="shared" si="6"/>
        <v>0</v>
      </c>
      <c r="L177">
        <v>2.5000000000000001E-2</v>
      </c>
      <c r="M177">
        <f t="shared" si="7"/>
        <v>0</v>
      </c>
    </row>
    <row r="178" spans="10:13">
      <c r="J178">
        <f t="shared" si="6"/>
        <v>0</v>
      </c>
      <c r="L178">
        <v>2.5000000000000001E-2</v>
      </c>
      <c r="M178">
        <f t="shared" si="7"/>
        <v>0</v>
      </c>
    </row>
    <row r="179" spans="10:13">
      <c r="J179">
        <f t="shared" si="6"/>
        <v>0</v>
      </c>
      <c r="L179">
        <v>2.5000000000000001E-2</v>
      </c>
      <c r="M179">
        <f t="shared" si="7"/>
        <v>0</v>
      </c>
    </row>
    <row r="180" spans="10:13">
      <c r="J180">
        <f t="shared" si="6"/>
        <v>0</v>
      </c>
      <c r="L180">
        <v>2.5000000000000001E-2</v>
      </c>
      <c r="M180">
        <f t="shared" si="7"/>
        <v>0</v>
      </c>
    </row>
    <row r="181" spans="10:13">
      <c r="J181">
        <f t="shared" si="6"/>
        <v>0</v>
      </c>
      <c r="L181">
        <v>2.5000000000000001E-2</v>
      </c>
      <c r="M181">
        <f t="shared" si="7"/>
        <v>0</v>
      </c>
    </row>
    <row r="182" spans="10:13">
      <c r="J182">
        <f t="shared" si="6"/>
        <v>0</v>
      </c>
      <c r="L182">
        <v>2.5000000000000001E-2</v>
      </c>
      <c r="M182">
        <f t="shared" si="7"/>
        <v>0</v>
      </c>
    </row>
    <row r="183" spans="10:13">
      <c r="J183">
        <f t="shared" si="6"/>
        <v>0</v>
      </c>
      <c r="L183">
        <v>2.5000000000000001E-2</v>
      </c>
      <c r="M183">
        <f t="shared" si="7"/>
        <v>0</v>
      </c>
    </row>
    <row r="184" spans="10:13">
      <c r="J184">
        <f t="shared" si="6"/>
        <v>0</v>
      </c>
      <c r="L184">
        <v>2.5000000000000001E-2</v>
      </c>
      <c r="M184">
        <f t="shared" si="7"/>
        <v>0</v>
      </c>
    </row>
    <row r="185" spans="10:13">
      <c r="J185">
        <f t="shared" si="6"/>
        <v>0</v>
      </c>
      <c r="L185">
        <v>2.5000000000000001E-2</v>
      </c>
      <c r="M185">
        <f t="shared" si="7"/>
        <v>0</v>
      </c>
    </row>
    <row r="186" spans="10:13">
      <c r="J186">
        <f t="shared" si="6"/>
        <v>0</v>
      </c>
      <c r="L186">
        <v>2.5000000000000001E-2</v>
      </c>
      <c r="M186">
        <f t="shared" si="7"/>
        <v>0</v>
      </c>
    </row>
    <row r="187" spans="10:13">
      <c r="J187">
        <f t="shared" si="6"/>
        <v>0</v>
      </c>
      <c r="L187">
        <v>2.5000000000000001E-2</v>
      </c>
      <c r="M187">
        <f t="shared" si="7"/>
        <v>0</v>
      </c>
    </row>
    <row r="188" spans="10:13">
      <c r="J188">
        <f t="shared" si="6"/>
        <v>0</v>
      </c>
      <c r="L188">
        <v>2.5000000000000001E-2</v>
      </c>
      <c r="M188">
        <f t="shared" si="7"/>
        <v>0</v>
      </c>
    </row>
    <row r="189" spans="10:13">
      <c r="J189">
        <f t="shared" si="6"/>
        <v>0</v>
      </c>
      <c r="L189">
        <v>2.5000000000000001E-2</v>
      </c>
      <c r="M189">
        <f t="shared" si="7"/>
        <v>0</v>
      </c>
    </row>
    <row r="190" spans="10:13">
      <c r="J190">
        <f t="shared" si="6"/>
        <v>0</v>
      </c>
      <c r="L190">
        <v>2.5000000000000001E-2</v>
      </c>
      <c r="M190">
        <f t="shared" si="7"/>
        <v>0</v>
      </c>
    </row>
    <row r="191" spans="10:13">
      <c r="J191">
        <f t="shared" si="6"/>
        <v>0</v>
      </c>
      <c r="L191">
        <v>2.5000000000000001E-2</v>
      </c>
      <c r="M191">
        <f t="shared" si="7"/>
        <v>0</v>
      </c>
    </row>
    <row r="192" spans="10:13">
      <c r="J192">
        <f t="shared" si="6"/>
        <v>0</v>
      </c>
      <c r="L192">
        <v>2.5000000000000001E-2</v>
      </c>
      <c r="M192">
        <f t="shared" si="7"/>
        <v>0</v>
      </c>
    </row>
    <row r="193" spans="10:13">
      <c r="J193">
        <f t="shared" si="6"/>
        <v>0</v>
      </c>
      <c r="L193">
        <v>2.5000000000000001E-2</v>
      </c>
      <c r="M193">
        <f t="shared" si="7"/>
        <v>0</v>
      </c>
    </row>
    <row r="194" spans="10:13">
      <c r="J194">
        <f t="shared" si="6"/>
        <v>0</v>
      </c>
      <c r="L194">
        <v>2.5000000000000001E-2</v>
      </c>
      <c r="M194">
        <f t="shared" si="7"/>
        <v>0</v>
      </c>
    </row>
    <row r="195" spans="10:13">
      <c r="J195">
        <f t="shared" si="6"/>
        <v>0</v>
      </c>
      <c r="L195">
        <v>2.5000000000000001E-2</v>
      </c>
      <c r="M195">
        <f t="shared" si="7"/>
        <v>0</v>
      </c>
    </row>
    <row r="196" spans="10:13">
      <c r="J196">
        <f t="shared" si="6"/>
        <v>0</v>
      </c>
      <c r="L196">
        <v>2.5000000000000001E-2</v>
      </c>
      <c r="M196">
        <f t="shared" si="7"/>
        <v>0</v>
      </c>
    </row>
    <row r="197" spans="10:13">
      <c r="J197">
        <f t="shared" si="6"/>
        <v>0</v>
      </c>
      <c r="L197">
        <v>2.5000000000000001E-2</v>
      </c>
      <c r="M197">
        <f t="shared" si="7"/>
        <v>0</v>
      </c>
    </row>
    <row r="198" spans="10:13">
      <c r="J198">
        <f t="shared" si="6"/>
        <v>0</v>
      </c>
      <c r="L198">
        <v>2.5000000000000001E-2</v>
      </c>
      <c r="M198">
        <f t="shared" si="7"/>
        <v>0</v>
      </c>
    </row>
    <row r="199" spans="10:13">
      <c r="J199">
        <f t="shared" si="6"/>
        <v>0</v>
      </c>
      <c r="L199">
        <v>2.5000000000000001E-2</v>
      </c>
      <c r="M199">
        <f t="shared" si="7"/>
        <v>0</v>
      </c>
    </row>
    <row r="200" spans="10:13">
      <c r="J200">
        <f t="shared" si="6"/>
        <v>0</v>
      </c>
      <c r="L200">
        <v>2.5000000000000001E-2</v>
      </c>
      <c r="M200">
        <f t="shared" si="7"/>
        <v>0</v>
      </c>
    </row>
    <row r="201" spans="10:13">
      <c r="J201">
        <f t="shared" si="6"/>
        <v>0</v>
      </c>
      <c r="L201">
        <v>2.5000000000000001E-2</v>
      </c>
      <c r="M201">
        <f t="shared" si="7"/>
        <v>0</v>
      </c>
    </row>
    <row r="202" spans="10:13">
      <c r="J202">
        <f t="shared" ref="J202:J243" si="8">D202*I202</f>
        <v>0</v>
      </c>
      <c r="L202">
        <v>2.5000000000000001E-2</v>
      </c>
      <c r="M202">
        <f t="shared" ref="M202:M243" si="9">J202*L202</f>
        <v>0</v>
      </c>
    </row>
    <row r="203" spans="10:13">
      <c r="J203">
        <f t="shared" si="8"/>
        <v>0</v>
      </c>
      <c r="L203">
        <v>2.5000000000000001E-2</v>
      </c>
      <c r="M203">
        <f t="shared" si="9"/>
        <v>0</v>
      </c>
    </row>
    <row r="204" spans="10:13">
      <c r="J204">
        <f t="shared" si="8"/>
        <v>0</v>
      </c>
      <c r="L204">
        <v>2.5000000000000001E-2</v>
      </c>
      <c r="M204">
        <f t="shared" si="9"/>
        <v>0</v>
      </c>
    </row>
    <row r="205" spans="10:13">
      <c r="J205">
        <f t="shared" si="8"/>
        <v>0</v>
      </c>
      <c r="L205">
        <v>2.5000000000000001E-2</v>
      </c>
      <c r="M205">
        <f t="shared" si="9"/>
        <v>0</v>
      </c>
    </row>
    <row r="206" spans="10:13">
      <c r="J206">
        <f t="shared" si="8"/>
        <v>0</v>
      </c>
      <c r="L206">
        <v>2.5000000000000001E-2</v>
      </c>
      <c r="M206">
        <f t="shared" si="9"/>
        <v>0</v>
      </c>
    </row>
    <row r="207" spans="10:13">
      <c r="J207">
        <f t="shared" si="8"/>
        <v>0</v>
      </c>
      <c r="L207">
        <v>2.5000000000000001E-2</v>
      </c>
      <c r="M207">
        <f t="shared" si="9"/>
        <v>0</v>
      </c>
    </row>
    <row r="208" spans="10:13">
      <c r="J208">
        <f t="shared" si="8"/>
        <v>0</v>
      </c>
      <c r="L208">
        <v>2.5000000000000001E-2</v>
      </c>
      <c r="M208">
        <f t="shared" si="9"/>
        <v>0</v>
      </c>
    </row>
    <row r="209" spans="10:13">
      <c r="J209">
        <f t="shared" si="8"/>
        <v>0</v>
      </c>
      <c r="L209">
        <v>2.5000000000000001E-2</v>
      </c>
      <c r="M209">
        <f t="shared" si="9"/>
        <v>0</v>
      </c>
    </row>
    <row r="210" spans="10:13">
      <c r="J210">
        <f t="shared" si="8"/>
        <v>0</v>
      </c>
      <c r="L210">
        <v>2.5000000000000001E-2</v>
      </c>
      <c r="M210">
        <f t="shared" si="9"/>
        <v>0</v>
      </c>
    </row>
    <row r="211" spans="10:13">
      <c r="J211">
        <f t="shared" si="8"/>
        <v>0</v>
      </c>
      <c r="L211">
        <v>2.5000000000000001E-2</v>
      </c>
      <c r="M211">
        <f t="shared" si="9"/>
        <v>0</v>
      </c>
    </row>
    <row r="212" spans="10:13">
      <c r="J212">
        <f t="shared" si="8"/>
        <v>0</v>
      </c>
      <c r="L212">
        <v>2.5000000000000001E-2</v>
      </c>
      <c r="M212">
        <f t="shared" si="9"/>
        <v>0</v>
      </c>
    </row>
    <row r="213" spans="10:13">
      <c r="J213">
        <f t="shared" si="8"/>
        <v>0</v>
      </c>
      <c r="L213">
        <v>2.5000000000000001E-2</v>
      </c>
      <c r="M213">
        <f t="shared" si="9"/>
        <v>0</v>
      </c>
    </row>
    <row r="214" spans="10:13">
      <c r="J214">
        <f t="shared" si="8"/>
        <v>0</v>
      </c>
      <c r="L214">
        <v>2.5000000000000001E-2</v>
      </c>
      <c r="M214">
        <f t="shared" si="9"/>
        <v>0</v>
      </c>
    </row>
    <row r="215" spans="10:13">
      <c r="J215">
        <f t="shared" si="8"/>
        <v>0</v>
      </c>
      <c r="L215">
        <v>2.5000000000000001E-2</v>
      </c>
      <c r="M215">
        <f t="shared" si="9"/>
        <v>0</v>
      </c>
    </row>
    <row r="216" spans="10:13">
      <c r="J216">
        <f t="shared" si="8"/>
        <v>0</v>
      </c>
      <c r="L216">
        <v>2.5000000000000001E-2</v>
      </c>
      <c r="M216">
        <f t="shared" si="9"/>
        <v>0</v>
      </c>
    </row>
    <row r="217" spans="10:13">
      <c r="J217">
        <f t="shared" si="8"/>
        <v>0</v>
      </c>
      <c r="L217">
        <v>2.5000000000000001E-2</v>
      </c>
      <c r="M217">
        <f t="shared" si="9"/>
        <v>0</v>
      </c>
    </row>
    <row r="218" spans="10:13">
      <c r="J218">
        <f t="shared" si="8"/>
        <v>0</v>
      </c>
      <c r="L218">
        <v>2.5000000000000001E-2</v>
      </c>
      <c r="M218">
        <f t="shared" si="9"/>
        <v>0</v>
      </c>
    </row>
    <row r="219" spans="10:13">
      <c r="J219">
        <f t="shared" si="8"/>
        <v>0</v>
      </c>
      <c r="L219">
        <v>2.5000000000000001E-2</v>
      </c>
      <c r="M219">
        <f t="shared" si="9"/>
        <v>0</v>
      </c>
    </row>
    <row r="220" spans="10:13">
      <c r="J220">
        <f t="shared" si="8"/>
        <v>0</v>
      </c>
      <c r="L220">
        <v>2.5000000000000001E-2</v>
      </c>
      <c r="M220">
        <f t="shared" si="9"/>
        <v>0</v>
      </c>
    </row>
    <row r="221" spans="10:13">
      <c r="J221">
        <f t="shared" si="8"/>
        <v>0</v>
      </c>
      <c r="L221">
        <v>2.5000000000000001E-2</v>
      </c>
      <c r="M221">
        <f t="shared" si="9"/>
        <v>0</v>
      </c>
    </row>
    <row r="222" spans="10:13">
      <c r="J222">
        <f t="shared" si="8"/>
        <v>0</v>
      </c>
      <c r="L222">
        <v>2.5000000000000001E-2</v>
      </c>
      <c r="M222">
        <f t="shared" si="9"/>
        <v>0</v>
      </c>
    </row>
    <row r="223" spans="10:13">
      <c r="J223">
        <f t="shared" si="8"/>
        <v>0</v>
      </c>
      <c r="L223">
        <v>2.5000000000000001E-2</v>
      </c>
      <c r="M223">
        <f t="shared" si="9"/>
        <v>0</v>
      </c>
    </row>
    <row r="224" spans="10:13">
      <c r="J224">
        <f t="shared" si="8"/>
        <v>0</v>
      </c>
      <c r="L224">
        <v>2.5000000000000001E-2</v>
      </c>
      <c r="M224">
        <f t="shared" si="9"/>
        <v>0</v>
      </c>
    </row>
    <row r="225" spans="10:13">
      <c r="J225">
        <f t="shared" si="8"/>
        <v>0</v>
      </c>
      <c r="L225">
        <v>2.5000000000000001E-2</v>
      </c>
      <c r="M225">
        <f t="shared" si="9"/>
        <v>0</v>
      </c>
    </row>
    <row r="226" spans="10:13">
      <c r="J226">
        <f t="shared" si="8"/>
        <v>0</v>
      </c>
      <c r="L226">
        <v>2.5000000000000001E-2</v>
      </c>
      <c r="M226">
        <f t="shared" si="9"/>
        <v>0</v>
      </c>
    </row>
    <row r="227" spans="10:13">
      <c r="J227">
        <f t="shared" si="8"/>
        <v>0</v>
      </c>
      <c r="L227">
        <v>2.5000000000000001E-2</v>
      </c>
      <c r="M227">
        <f t="shared" si="9"/>
        <v>0</v>
      </c>
    </row>
    <row r="228" spans="10:13">
      <c r="J228">
        <f t="shared" si="8"/>
        <v>0</v>
      </c>
      <c r="L228">
        <v>2.5000000000000001E-2</v>
      </c>
      <c r="M228">
        <f t="shared" si="9"/>
        <v>0</v>
      </c>
    </row>
    <row r="229" spans="10:13">
      <c r="J229">
        <f t="shared" si="8"/>
        <v>0</v>
      </c>
      <c r="L229">
        <v>2.5000000000000001E-2</v>
      </c>
      <c r="M229">
        <f t="shared" si="9"/>
        <v>0</v>
      </c>
    </row>
    <row r="230" spans="10:13">
      <c r="J230">
        <f t="shared" si="8"/>
        <v>0</v>
      </c>
      <c r="L230">
        <v>2.5000000000000001E-2</v>
      </c>
      <c r="M230">
        <f t="shared" si="9"/>
        <v>0</v>
      </c>
    </row>
    <row r="231" spans="10:13">
      <c r="J231">
        <f t="shared" si="8"/>
        <v>0</v>
      </c>
      <c r="L231">
        <v>2.5000000000000001E-2</v>
      </c>
      <c r="M231">
        <f t="shared" si="9"/>
        <v>0</v>
      </c>
    </row>
    <row r="232" spans="10:13">
      <c r="J232">
        <f t="shared" si="8"/>
        <v>0</v>
      </c>
      <c r="L232">
        <v>2.5000000000000001E-2</v>
      </c>
      <c r="M232">
        <f t="shared" si="9"/>
        <v>0</v>
      </c>
    </row>
    <row r="233" spans="10:13">
      <c r="J233">
        <f t="shared" si="8"/>
        <v>0</v>
      </c>
      <c r="L233">
        <v>2.5000000000000001E-2</v>
      </c>
      <c r="M233">
        <f t="shared" si="9"/>
        <v>0</v>
      </c>
    </row>
    <row r="234" spans="10:13">
      <c r="J234">
        <f t="shared" si="8"/>
        <v>0</v>
      </c>
      <c r="L234">
        <v>2.5000000000000001E-2</v>
      </c>
      <c r="M234">
        <f t="shared" si="9"/>
        <v>0</v>
      </c>
    </row>
    <row r="235" spans="10:13">
      <c r="J235">
        <f t="shared" si="8"/>
        <v>0</v>
      </c>
      <c r="L235">
        <v>2.5000000000000001E-2</v>
      </c>
      <c r="M235">
        <f t="shared" si="9"/>
        <v>0</v>
      </c>
    </row>
    <row r="236" spans="10:13">
      <c r="J236">
        <f t="shared" si="8"/>
        <v>0</v>
      </c>
      <c r="L236">
        <v>2.5000000000000001E-2</v>
      </c>
      <c r="M236">
        <f t="shared" si="9"/>
        <v>0</v>
      </c>
    </row>
    <row r="237" spans="10:13">
      <c r="J237">
        <f t="shared" si="8"/>
        <v>0</v>
      </c>
      <c r="L237">
        <v>2.5000000000000001E-2</v>
      </c>
      <c r="M237">
        <f t="shared" si="9"/>
        <v>0</v>
      </c>
    </row>
    <row r="238" spans="10:13">
      <c r="J238">
        <f t="shared" si="8"/>
        <v>0</v>
      </c>
      <c r="L238">
        <v>2.5000000000000001E-2</v>
      </c>
      <c r="M238">
        <f t="shared" si="9"/>
        <v>0</v>
      </c>
    </row>
    <row r="239" spans="10:13">
      <c r="J239">
        <f t="shared" si="8"/>
        <v>0</v>
      </c>
      <c r="L239">
        <v>2.5000000000000001E-2</v>
      </c>
      <c r="M239">
        <f t="shared" si="9"/>
        <v>0</v>
      </c>
    </row>
    <row r="240" spans="10:13">
      <c r="J240">
        <f t="shared" si="8"/>
        <v>0</v>
      </c>
      <c r="L240">
        <v>2.5000000000000001E-2</v>
      </c>
      <c r="M240">
        <f t="shared" si="9"/>
        <v>0</v>
      </c>
    </row>
    <row r="241" spans="10:13">
      <c r="J241">
        <f t="shared" si="8"/>
        <v>0</v>
      </c>
      <c r="L241">
        <v>2.5000000000000001E-2</v>
      </c>
      <c r="M241">
        <f t="shared" si="9"/>
        <v>0</v>
      </c>
    </row>
    <row r="242" spans="10:13">
      <c r="J242">
        <f t="shared" si="8"/>
        <v>0</v>
      </c>
      <c r="L242">
        <v>2.5000000000000001E-2</v>
      </c>
      <c r="M242">
        <f t="shared" si="9"/>
        <v>0</v>
      </c>
    </row>
    <row r="243" spans="10:13">
      <c r="J243">
        <f t="shared" si="8"/>
        <v>0</v>
      </c>
      <c r="L243">
        <v>2.5000000000000001E-2</v>
      </c>
      <c r="M243">
        <f t="shared" si="9"/>
        <v>0</v>
      </c>
    </row>
    <row r="302" spans="19:19">
      <c r="S302" t="s">
        <v>5</v>
      </c>
    </row>
    <row r="303" spans="19:19">
      <c r="S303" t="s">
        <v>0</v>
      </c>
    </row>
  </sheetData>
  <phoneticPr fontId="0" type="noConversion"/>
  <conditionalFormatting sqref="J1">
    <cfRule type="expression" priority="1">
      <formula>C1="USD"</formula>
    </cfRule>
  </conditionalFormatting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2"/>
  <dimension ref="A1:X319"/>
  <sheetViews>
    <sheetView topLeftCell="A70" workbookViewId="0">
      <selection activeCell="I90" sqref="F85:I90"/>
    </sheetView>
  </sheetViews>
  <sheetFormatPr defaultRowHeight="13.5"/>
  <cols>
    <col min="1" max="1" width="5.5" customWidth="1"/>
    <col min="2" max="2" width="4.625" customWidth="1"/>
    <col min="3" max="3" width="6.25" customWidth="1"/>
    <col min="7" max="7" width="9.5" bestFit="1" customWidth="1"/>
  </cols>
  <sheetData>
    <row r="1" spans="1:24">
      <c r="A1" t="s">
        <v>481</v>
      </c>
      <c r="B1" t="s">
        <v>482</v>
      </c>
      <c r="C1" t="s">
        <v>483</v>
      </c>
      <c r="D1" t="s">
        <v>484</v>
      </c>
      <c r="E1" t="s">
        <v>485</v>
      </c>
      <c r="F1" t="s">
        <v>486</v>
      </c>
      <c r="G1" t="s">
        <v>487</v>
      </c>
      <c r="H1" t="s">
        <v>488</v>
      </c>
      <c r="I1" t="s">
        <v>489</v>
      </c>
      <c r="J1" t="s">
        <v>490</v>
      </c>
      <c r="K1" t="s">
        <v>491</v>
      </c>
      <c r="L1" t="s">
        <v>492</v>
      </c>
      <c r="M1" t="s">
        <v>493</v>
      </c>
      <c r="N1" t="s">
        <v>494</v>
      </c>
      <c r="O1" t="s">
        <v>495</v>
      </c>
      <c r="P1" t="s">
        <v>496</v>
      </c>
      <c r="Q1" t="s">
        <v>497</v>
      </c>
      <c r="R1" t="s">
        <v>498</v>
      </c>
      <c r="S1" t="s">
        <v>499</v>
      </c>
      <c r="T1" t="s">
        <v>500</v>
      </c>
      <c r="U1" t="s">
        <v>501</v>
      </c>
      <c r="V1" t="s">
        <v>502</v>
      </c>
      <c r="W1" t="s">
        <v>503</v>
      </c>
      <c r="X1" t="s">
        <v>504</v>
      </c>
    </row>
    <row r="3" spans="1:24">
      <c r="A3" t="s">
        <v>18</v>
      </c>
      <c r="B3" t="s">
        <v>19</v>
      </c>
      <c r="C3" t="s">
        <v>20</v>
      </c>
      <c r="D3" t="s">
        <v>21</v>
      </c>
      <c r="E3" t="s">
        <v>22</v>
      </c>
      <c r="F3" t="s">
        <v>23</v>
      </c>
    </row>
    <row r="4" spans="1:24">
      <c r="A4" t="s">
        <v>585</v>
      </c>
      <c r="B4">
        <v>1757</v>
      </c>
      <c r="C4" t="s">
        <v>586</v>
      </c>
      <c r="D4" t="s">
        <v>587</v>
      </c>
      <c r="E4">
        <v>3261.12</v>
      </c>
      <c r="F4" t="s">
        <v>589</v>
      </c>
    </row>
    <row r="5" spans="1:24">
      <c r="A5" t="s">
        <v>25</v>
      </c>
      <c r="B5">
        <v>1756</v>
      </c>
      <c r="C5" t="s">
        <v>29</v>
      </c>
      <c r="D5" t="s">
        <v>9</v>
      </c>
      <c r="E5">
        <v>11957</v>
      </c>
      <c r="F5" t="s">
        <v>28</v>
      </c>
    </row>
    <row r="6" spans="1:24">
      <c r="A6" t="s">
        <v>585</v>
      </c>
      <c r="B6">
        <v>1755</v>
      </c>
      <c r="C6" t="s">
        <v>586</v>
      </c>
      <c r="D6" t="s">
        <v>587</v>
      </c>
      <c r="E6">
        <v>3200</v>
      </c>
      <c r="F6" t="s">
        <v>589</v>
      </c>
    </row>
    <row r="7" spans="1:24">
      <c r="A7" t="s">
        <v>585</v>
      </c>
      <c r="B7">
        <v>1754</v>
      </c>
      <c r="C7" t="s">
        <v>588</v>
      </c>
      <c r="D7" t="s">
        <v>587</v>
      </c>
      <c r="E7">
        <v>4100</v>
      </c>
      <c r="F7" t="s">
        <v>589</v>
      </c>
    </row>
    <row r="8" spans="1:24">
      <c r="A8" t="s">
        <v>585</v>
      </c>
      <c r="B8">
        <v>1754</v>
      </c>
      <c r="C8" t="s">
        <v>586</v>
      </c>
      <c r="D8" t="s">
        <v>587</v>
      </c>
      <c r="E8">
        <v>5200</v>
      </c>
      <c r="F8" t="s">
        <v>589</v>
      </c>
    </row>
    <row r="9" spans="1:24">
      <c r="A9" t="s">
        <v>585</v>
      </c>
      <c r="B9">
        <v>1752</v>
      </c>
      <c r="C9" t="s">
        <v>590</v>
      </c>
      <c r="D9" t="s">
        <v>587</v>
      </c>
      <c r="E9">
        <v>5000</v>
      </c>
      <c r="F9" t="s">
        <v>589</v>
      </c>
    </row>
    <row r="10" spans="1:24">
      <c r="A10" t="s">
        <v>25</v>
      </c>
      <c r="B10">
        <v>1750</v>
      </c>
      <c r="C10" t="s">
        <v>26</v>
      </c>
      <c r="D10" t="s">
        <v>9</v>
      </c>
      <c r="E10">
        <v>6310</v>
      </c>
      <c r="F10" t="s">
        <v>27</v>
      </c>
    </row>
    <row r="11" spans="1:24">
      <c r="A11" t="s">
        <v>25</v>
      </c>
      <c r="B11">
        <v>1749</v>
      </c>
      <c r="C11" t="s">
        <v>26</v>
      </c>
      <c r="D11" t="s">
        <v>9</v>
      </c>
      <c r="E11">
        <v>6310</v>
      </c>
      <c r="F11" t="s">
        <v>27</v>
      </c>
    </row>
    <row r="12" spans="1:24">
      <c r="A12" t="s">
        <v>585</v>
      </c>
      <c r="B12">
        <v>1748</v>
      </c>
      <c r="C12" t="s">
        <v>586</v>
      </c>
      <c r="D12" t="s">
        <v>587</v>
      </c>
      <c r="E12">
        <v>2000</v>
      </c>
      <c r="F12" t="s">
        <v>589</v>
      </c>
    </row>
    <row r="13" spans="1:24">
      <c r="A13" t="s">
        <v>585</v>
      </c>
      <c r="B13">
        <v>1747</v>
      </c>
      <c r="C13" t="s">
        <v>586</v>
      </c>
      <c r="D13" t="s">
        <v>587</v>
      </c>
      <c r="E13">
        <v>3261.12</v>
      </c>
      <c r="F13" t="s">
        <v>589</v>
      </c>
    </row>
    <row r="14" spans="1:24">
      <c r="A14" t="s">
        <v>572</v>
      </c>
      <c r="B14">
        <v>1746</v>
      </c>
      <c r="C14" t="s">
        <v>573</v>
      </c>
      <c r="D14" t="s">
        <v>9</v>
      </c>
      <c r="E14">
        <v>4083</v>
      </c>
      <c r="F14" t="s">
        <v>574</v>
      </c>
    </row>
    <row r="15" spans="1:24">
      <c r="A15" t="s">
        <v>439</v>
      </c>
      <c r="B15">
        <v>1745</v>
      </c>
      <c r="C15" t="s">
        <v>440</v>
      </c>
      <c r="D15" t="s">
        <v>9</v>
      </c>
      <c r="E15">
        <v>13188.32</v>
      </c>
      <c r="F15" t="s">
        <v>442</v>
      </c>
    </row>
    <row r="16" spans="1:24">
      <c r="A16" t="s">
        <v>572</v>
      </c>
      <c r="B16">
        <v>1745</v>
      </c>
      <c r="C16" t="s">
        <v>573</v>
      </c>
      <c r="D16" t="s">
        <v>9</v>
      </c>
      <c r="E16">
        <v>4083</v>
      </c>
      <c r="F16" t="s">
        <v>574</v>
      </c>
    </row>
    <row r="17" spans="1:6">
      <c r="A17" t="s">
        <v>153</v>
      </c>
      <c r="B17">
        <v>1744</v>
      </c>
      <c r="C17" t="s">
        <v>157</v>
      </c>
      <c r="D17" t="s">
        <v>9</v>
      </c>
      <c r="E17">
        <v>5476.4</v>
      </c>
      <c r="F17" t="s">
        <v>158</v>
      </c>
    </row>
    <row r="18" spans="1:6">
      <c r="A18" t="s">
        <v>153</v>
      </c>
      <c r="B18">
        <v>1744</v>
      </c>
      <c r="C18" t="s">
        <v>586</v>
      </c>
      <c r="D18" t="s">
        <v>587</v>
      </c>
      <c r="E18">
        <v>3200</v>
      </c>
      <c r="F18" t="s">
        <v>589</v>
      </c>
    </row>
    <row r="19" spans="1:6">
      <c r="A19" t="s">
        <v>585</v>
      </c>
      <c r="B19">
        <v>1744</v>
      </c>
      <c r="C19" t="s">
        <v>586</v>
      </c>
      <c r="D19" t="s">
        <v>587</v>
      </c>
      <c r="E19">
        <v>7720</v>
      </c>
      <c r="F19" t="s">
        <v>589</v>
      </c>
    </row>
    <row r="20" spans="1:6">
      <c r="A20" t="s">
        <v>11</v>
      </c>
      <c r="B20">
        <v>1743</v>
      </c>
      <c r="C20" t="s">
        <v>12</v>
      </c>
      <c r="D20" t="s">
        <v>10</v>
      </c>
      <c r="E20">
        <v>4585.6000000000004</v>
      </c>
      <c r="F20" t="s">
        <v>13</v>
      </c>
    </row>
    <row r="21" spans="1:6">
      <c r="A21" t="s">
        <v>439</v>
      </c>
      <c r="B21">
        <v>1743</v>
      </c>
      <c r="C21" t="s">
        <v>440</v>
      </c>
      <c r="D21" t="s">
        <v>9</v>
      </c>
      <c r="E21">
        <v>13188.32</v>
      </c>
      <c r="F21" t="s">
        <v>442</v>
      </c>
    </row>
    <row r="22" spans="1:6">
      <c r="A22" t="s">
        <v>540</v>
      </c>
      <c r="B22">
        <v>1743</v>
      </c>
      <c r="C22" t="s">
        <v>582</v>
      </c>
      <c r="D22" t="s">
        <v>445</v>
      </c>
      <c r="E22">
        <v>4180</v>
      </c>
      <c r="F22" t="s">
        <v>541</v>
      </c>
    </row>
    <row r="23" spans="1:6">
      <c r="A23" t="s">
        <v>591</v>
      </c>
      <c r="B23">
        <v>1743</v>
      </c>
      <c r="C23" t="s">
        <v>582</v>
      </c>
      <c r="D23" t="s">
        <v>445</v>
      </c>
      <c r="E23">
        <v>3853</v>
      </c>
      <c r="F23" t="s">
        <v>541</v>
      </c>
    </row>
    <row r="24" spans="1:6">
      <c r="A24" t="s">
        <v>153</v>
      </c>
      <c r="B24">
        <v>1743</v>
      </c>
      <c r="C24" t="s">
        <v>586</v>
      </c>
      <c r="D24" t="s">
        <v>587</v>
      </c>
      <c r="E24">
        <v>3800</v>
      </c>
      <c r="F24" t="s">
        <v>589</v>
      </c>
    </row>
    <row r="25" spans="1:6">
      <c r="A25" t="s">
        <v>30</v>
      </c>
      <c r="B25">
        <v>1742</v>
      </c>
      <c r="C25" t="s">
        <v>39</v>
      </c>
      <c r="D25" t="s">
        <v>9</v>
      </c>
      <c r="E25">
        <v>11519.69</v>
      </c>
      <c r="F25" t="s">
        <v>40</v>
      </c>
    </row>
    <row r="26" spans="1:6">
      <c r="A26" t="s">
        <v>439</v>
      </c>
      <c r="B26">
        <v>1742</v>
      </c>
      <c r="C26" t="s">
        <v>440</v>
      </c>
      <c r="D26" t="s">
        <v>9</v>
      </c>
      <c r="E26">
        <v>13188.32</v>
      </c>
      <c r="F26" t="s">
        <v>442</v>
      </c>
    </row>
    <row r="27" spans="1:6">
      <c r="A27" t="s">
        <v>153</v>
      </c>
      <c r="B27">
        <v>1742</v>
      </c>
      <c r="C27" t="s">
        <v>548</v>
      </c>
      <c r="D27" t="s">
        <v>9</v>
      </c>
      <c r="E27">
        <v>3000</v>
      </c>
      <c r="F27" t="s">
        <v>544</v>
      </c>
    </row>
    <row r="28" spans="1:6">
      <c r="A28" t="s">
        <v>443</v>
      </c>
      <c r="B28">
        <v>1742</v>
      </c>
      <c r="C28" t="s">
        <v>583</v>
      </c>
      <c r="D28" t="s">
        <v>445</v>
      </c>
      <c r="E28">
        <v>6992.71</v>
      </c>
      <c r="F28" t="s">
        <v>584</v>
      </c>
    </row>
    <row r="29" spans="1:6">
      <c r="A29" t="s">
        <v>14</v>
      </c>
      <c r="B29">
        <v>1741</v>
      </c>
      <c r="C29" t="s">
        <v>16</v>
      </c>
      <c r="D29" t="s">
        <v>9</v>
      </c>
      <c r="E29">
        <v>52935.4</v>
      </c>
      <c r="F29" t="s">
        <v>17</v>
      </c>
    </row>
    <row r="30" spans="1:6">
      <c r="A30" t="s">
        <v>30</v>
      </c>
      <c r="B30">
        <v>1741</v>
      </c>
      <c r="C30" t="s">
        <v>12</v>
      </c>
      <c r="D30" t="s">
        <v>10</v>
      </c>
      <c r="E30">
        <v>3940.46</v>
      </c>
      <c r="F30" t="s">
        <v>31</v>
      </c>
    </row>
    <row r="31" spans="1:6">
      <c r="A31" t="s">
        <v>30</v>
      </c>
      <c r="B31">
        <v>1741</v>
      </c>
      <c r="C31" t="s">
        <v>33</v>
      </c>
      <c r="D31" t="s">
        <v>9</v>
      </c>
      <c r="E31">
        <v>80163.199999999997</v>
      </c>
      <c r="F31" t="s">
        <v>34</v>
      </c>
    </row>
    <row r="32" spans="1:6">
      <c r="A32" t="s">
        <v>540</v>
      </c>
      <c r="B32">
        <v>1741</v>
      </c>
      <c r="C32" t="s">
        <v>447</v>
      </c>
      <c r="D32" t="s">
        <v>445</v>
      </c>
      <c r="E32">
        <v>3594</v>
      </c>
      <c r="F32" t="s">
        <v>541</v>
      </c>
    </row>
    <row r="33" spans="1:6">
      <c r="A33" t="s">
        <v>443</v>
      </c>
      <c r="B33">
        <v>1741</v>
      </c>
      <c r="C33" t="s">
        <v>582</v>
      </c>
      <c r="D33" t="s">
        <v>445</v>
      </c>
      <c r="E33">
        <v>3751</v>
      </c>
      <c r="F33" t="s">
        <v>581</v>
      </c>
    </row>
    <row r="34" spans="1:6">
      <c r="A34" t="s">
        <v>24</v>
      </c>
      <c r="B34">
        <v>1740</v>
      </c>
      <c r="C34" t="s">
        <v>12</v>
      </c>
      <c r="D34" t="s">
        <v>10</v>
      </c>
      <c r="E34">
        <v>4990</v>
      </c>
      <c r="F34" t="s">
        <v>542</v>
      </c>
    </row>
    <row r="35" spans="1:6">
      <c r="A35" t="s">
        <v>30</v>
      </c>
      <c r="B35">
        <v>1740</v>
      </c>
      <c r="C35" t="s">
        <v>32</v>
      </c>
      <c r="D35" t="s">
        <v>9</v>
      </c>
      <c r="E35">
        <v>24758</v>
      </c>
      <c r="F35" t="s">
        <v>546</v>
      </c>
    </row>
    <row r="36" spans="1:6">
      <c r="A36" t="s">
        <v>439</v>
      </c>
      <c r="B36">
        <v>1740</v>
      </c>
      <c r="C36" t="s">
        <v>440</v>
      </c>
      <c r="D36" t="s">
        <v>9</v>
      </c>
      <c r="E36">
        <v>13188.32</v>
      </c>
      <c r="F36" t="s">
        <v>442</v>
      </c>
    </row>
    <row r="37" spans="1:6">
      <c r="A37" t="s">
        <v>479</v>
      </c>
      <c r="B37">
        <v>1740</v>
      </c>
      <c r="C37" t="s">
        <v>543</v>
      </c>
      <c r="D37" t="s">
        <v>9</v>
      </c>
      <c r="E37">
        <v>30006.5</v>
      </c>
      <c r="F37" t="s">
        <v>544</v>
      </c>
    </row>
    <row r="38" spans="1:6">
      <c r="A38" t="s">
        <v>443</v>
      </c>
      <c r="B38">
        <v>1740</v>
      </c>
      <c r="C38" t="s">
        <v>580</v>
      </c>
      <c r="D38" t="s">
        <v>445</v>
      </c>
      <c r="E38">
        <v>5860</v>
      </c>
      <c r="F38" t="s">
        <v>581</v>
      </c>
    </row>
    <row r="39" spans="1:6">
      <c r="A39" t="s">
        <v>591</v>
      </c>
      <c r="B39">
        <v>1740</v>
      </c>
      <c r="C39" t="s">
        <v>582</v>
      </c>
      <c r="D39" t="s">
        <v>445</v>
      </c>
      <c r="E39">
        <v>6432</v>
      </c>
      <c r="F39" t="s">
        <v>541</v>
      </c>
    </row>
    <row r="40" spans="1:6">
      <c r="A40" t="s">
        <v>14</v>
      </c>
      <c r="B40">
        <v>1739</v>
      </c>
      <c r="C40" t="s">
        <v>12</v>
      </c>
      <c r="D40" t="s">
        <v>10</v>
      </c>
      <c r="E40">
        <v>3727</v>
      </c>
      <c r="F40" t="s">
        <v>542</v>
      </c>
    </row>
    <row r="41" spans="1:6">
      <c r="A41" t="s">
        <v>439</v>
      </c>
      <c r="B41">
        <v>1739</v>
      </c>
      <c r="C41" t="s">
        <v>440</v>
      </c>
      <c r="D41" t="s">
        <v>9</v>
      </c>
      <c r="E41">
        <v>13188.32</v>
      </c>
      <c r="F41" t="s">
        <v>442</v>
      </c>
    </row>
    <row r="42" spans="1:6">
      <c r="A42" t="s">
        <v>443</v>
      </c>
      <c r="B42">
        <v>1739</v>
      </c>
      <c r="C42" t="s">
        <v>447</v>
      </c>
      <c r="D42" t="s">
        <v>445</v>
      </c>
      <c r="E42">
        <v>4594.5600000000004</v>
      </c>
      <c r="F42" t="s">
        <v>446</v>
      </c>
    </row>
    <row r="43" spans="1:6">
      <c r="A43" t="s">
        <v>547</v>
      </c>
      <c r="B43">
        <v>1739</v>
      </c>
      <c r="C43" t="s">
        <v>545</v>
      </c>
      <c r="D43" t="s">
        <v>9</v>
      </c>
      <c r="E43">
        <v>7547</v>
      </c>
      <c r="F43" t="s">
        <v>546</v>
      </c>
    </row>
    <row r="44" spans="1:6">
      <c r="A44" t="s">
        <v>153</v>
      </c>
      <c r="B44">
        <v>1739</v>
      </c>
      <c r="C44" t="s">
        <v>548</v>
      </c>
      <c r="D44" t="s">
        <v>9</v>
      </c>
      <c r="E44">
        <v>4309.2</v>
      </c>
      <c r="F44" t="s">
        <v>544</v>
      </c>
    </row>
    <row r="45" spans="1:6">
      <c r="A45" t="s">
        <v>11</v>
      </c>
      <c r="B45">
        <v>1738</v>
      </c>
      <c r="C45" t="s">
        <v>8</v>
      </c>
      <c r="D45" t="s">
        <v>10</v>
      </c>
      <c r="E45">
        <v>4444</v>
      </c>
      <c r="F45" t="s">
        <v>542</v>
      </c>
    </row>
    <row r="46" spans="1:6">
      <c r="A46" t="s">
        <v>439</v>
      </c>
      <c r="B46">
        <v>1738</v>
      </c>
      <c r="C46" t="s">
        <v>440</v>
      </c>
      <c r="D46" t="s">
        <v>9</v>
      </c>
      <c r="E46">
        <v>13188.32</v>
      </c>
      <c r="F46" t="s">
        <v>442</v>
      </c>
    </row>
    <row r="47" spans="1:6">
      <c r="A47" t="s">
        <v>14</v>
      </c>
      <c r="B47">
        <v>1738</v>
      </c>
      <c r="C47" t="s">
        <v>543</v>
      </c>
      <c r="D47" t="s">
        <v>9</v>
      </c>
      <c r="E47">
        <v>12084.8</v>
      </c>
      <c r="F47" t="s">
        <v>544</v>
      </c>
    </row>
    <row r="48" spans="1:6">
      <c r="A48" t="s">
        <v>153</v>
      </c>
      <c r="B48">
        <v>1738</v>
      </c>
      <c r="C48" t="s">
        <v>545</v>
      </c>
      <c r="D48" t="s">
        <v>9</v>
      </c>
      <c r="E48">
        <v>13212</v>
      </c>
      <c r="F48" t="s">
        <v>546</v>
      </c>
    </row>
    <row r="49" spans="1:6">
      <c r="A49" t="s">
        <v>153</v>
      </c>
      <c r="B49">
        <v>1738</v>
      </c>
      <c r="C49" t="s">
        <v>586</v>
      </c>
      <c r="D49" t="s">
        <v>587</v>
      </c>
      <c r="E49">
        <v>3861.84</v>
      </c>
      <c r="F49" t="s">
        <v>589</v>
      </c>
    </row>
    <row r="50" spans="1:6">
      <c r="A50" t="s">
        <v>1</v>
      </c>
      <c r="B50">
        <v>1737</v>
      </c>
      <c r="C50" t="s">
        <v>2</v>
      </c>
      <c r="D50" t="s">
        <v>9</v>
      </c>
      <c r="E50">
        <v>42491.360000000001</v>
      </c>
    </row>
    <row r="51" spans="1:6">
      <c r="A51" t="s">
        <v>14</v>
      </c>
      <c r="B51">
        <v>1737</v>
      </c>
      <c r="C51" t="s">
        <v>15</v>
      </c>
      <c r="D51" t="s">
        <v>10</v>
      </c>
      <c r="E51">
        <v>3944</v>
      </c>
      <c r="F51" t="s">
        <v>542</v>
      </c>
    </row>
    <row r="52" spans="1:6">
      <c r="A52" t="s">
        <v>24</v>
      </c>
      <c r="B52">
        <v>1737</v>
      </c>
      <c r="C52" t="s">
        <v>15</v>
      </c>
      <c r="D52" t="s">
        <v>10</v>
      </c>
      <c r="E52">
        <v>4868</v>
      </c>
      <c r="F52" t="s">
        <v>542</v>
      </c>
    </row>
    <row r="53" spans="1:6">
      <c r="A53" t="s">
        <v>24</v>
      </c>
      <c r="B53">
        <v>1737</v>
      </c>
      <c r="C53" t="s">
        <v>12</v>
      </c>
      <c r="D53" t="s">
        <v>10</v>
      </c>
      <c r="E53">
        <v>4153</v>
      </c>
      <c r="F53" t="s">
        <v>542</v>
      </c>
    </row>
    <row r="54" spans="1:6">
      <c r="A54" t="s">
        <v>439</v>
      </c>
      <c r="B54">
        <v>1737</v>
      </c>
      <c r="C54" t="s">
        <v>440</v>
      </c>
      <c r="D54" t="s">
        <v>9</v>
      </c>
      <c r="E54">
        <v>12988.32</v>
      </c>
      <c r="F54" t="s">
        <v>442</v>
      </c>
    </row>
    <row r="55" spans="1:6">
      <c r="A55" t="s">
        <v>439</v>
      </c>
      <c r="B55">
        <v>1736</v>
      </c>
      <c r="C55" t="s">
        <v>440</v>
      </c>
      <c r="D55" t="s">
        <v>9</v>
      </c>
      <c r="E55">
        <v>12988.32</v>
      </c>
      <c r="F55" t="s">
        <v>442</v>
      </c>
    </row>
    <row r="56" spans="1:6">
      <c r="A56" t="s">
        <v>153</v>
      </c>
      <c r="B56">
        <v>1736</v>
      </c>
      <c r="C56" t="s">
        <v>586</v>
      </c>
      <c r="D56" t="s">
        <v>587</v>
      </c>
      <c r="E56">
        <v>3861.84</v>
      </c>
      <c r="F56" t="s">
        <v>589</v>
      </c>
    </row>
    <row r="57" spans="1:6">
      <c r="A57" t="s">
        <v>154</v>
      </c>
      <c r="B57">
        <v>1735</v>
      </c>
      <c r="C57" t="s">
        <v>548</v>
      </c>
      <c r="D57" t="s">
        <v>9</v>
      </c>
      <c r="E57">
        <v>3036.7</v>
      </c>
      <c r="F57" t="s">
        <v>544</v>
      </c>
    </row>
    <row r="58" spans="1:6">
      <c r="A58" t="s">
        <v>153</v>
      </c>
      <c r="B58">
        <v>1735</v>
      </c>
      <c r="C58" t="s">
        <v>586</v>
      </c>
      <c r="D58" t="s">
        <v>587</v>
      </c>
      <c r="E58">
        <v>3800</v>
      </c>
      <c r="F58" t="s">
        <v>589</v>
      </c>
    </row>
    <row r="59" spans="1:6">
      <c r="A59" t="s">
        <v>443</v>
      </c>
      <c r="B59">
        <v>1734</v>
      </c>
      <c r="C59" t="s">
        <v>444</v>
      </c>
      <c r="D59" t="s">
        <v>445</v>
      </c>
      <c r="E59">
        <v>3492.61</v>
      </c>
      <c r="F59" t="s">
        <v>446</v>
      </c>
    </row>
    <row r="60" spans="1:6">
      <c r="A60" t="s">
        <v>154</v>
      </c>
      <c r="B60">
        <v>1733</v>
      </c>
      <c r="C60" t="s">
        <v>156</v>
      </c>
      <c r="D60" t="s">
        <v>9</v>
      </c>
      <c r="E60">
        <v>4666</v>
      </c>
      <c r="F60" t="s">
        <v>155</v>
      </c>
    </row>
    <row r="61" spans="1:6">
      <c r="A61" t="s">
        <v>153</v>
      </c>
      <c r="B61">
        <v>1733</v>
      </c>
      <c r="C61" t="s">
        <v>586</v>
      </c>
      <c r="D61" t="s">
        <v>587</v>
      </c>
      <c r="E61">
        <v>2618</v>
      </c>
      <c r="F61" t="s">
        <v>589</v>
      </c>
    </row>
    <row r="62" spans="1:6">
      <c r="A62" t="s">
        <v>153</v>
      </c>
      <c r="B62">
        <v>1732</v>
      </c>
      <c r="C62" t="s">
        <v>586</v>
      </c>
      <c r="D62" t="s">
        <v>587</v>
      </c>
      <c r="E62">
        <v>3200</v>
      </c>
      <c r="F62" t="s">
        <v>589</v>
      </c>
    </row>
    <row r="63" spans="1:6">
      <c r="A63" t="s">
        <v>3</v>
      </c>
      <c r="B63">
        <v>1723</v>
      </c>
      <c r="C63" t="s">
        <v>4</v>
      </c>
      <c r="D63" t="s">
        <v>9</v>
      </c>
      <c r="E63">
        <v>35766.18</v>
      </c>
    </row>
    <row r="64" spans="1:6">
      <c r="A64" t="s">
        <v>614</v>
      </c>
      <c r="B64">
        <v>1748</v>
      </c>
      <c r="C64" t="s">
        <v>615</v>
      </c>
      <c r="D64" t="s">
        <v>9</v>
      </c>
      <c r="E64">
        <v>8049.57</v>
      </c>
      <c r="F64" t="s">
        <v>616</v>
      </c>
    </row>
    <row r="65" spans="1:16">
      <c r="A65" t="s">
        <v>614</v>
      </c>
      <c r="B65">
        <v>1750</v>
      </c>
      <c r="C65" t="s">
        <v>617</v>
      </c>
      <c r="D65" t="s">
        <v>9</v>
      </c>
      <c r="E65">
        <v>32400</v>
      </c>
      <c r="F65" t="s">
        <v>618</v>
      </c>
    </row>
    <row r="66" spans="1:16">
      <c r="A66" t="s">
        <v>619</v>
      </c>
      <c r="B66">
        <v>1743</v>
      </c>
      <c r="C66" t="s">
        <v>620</v>
      </c>
      <c r="D66" t="s">
        <v>9</v>
      </c>
      <c r="E66">
        <v>6747.13</v>
      </c>
      <c r="F66" t="s">
        <v>621</v>
      </c>
    </row>
    <row r="67" spans="1:16">
      <c r="A67" t="s">
        <v>619</v>
      </c>
      <c r="B67">
        <v>1740</v>
      </c>
      <c r="C67" t="s">
        <v>620</v>
      </c>
      <c r="D67" t="s">
        <v>9</v>
      </c>
      <c r="E67">
        <v>6746.21</v>
      </c>
      <c r="F67" t="s">
        <v>621</v>
      </c>
    </row>
    <row r="68" spans="1:16">
      <c r="A68" t="s">
        <v>619</v>
      </c>
      <c r="B68">
        <v>1744</v>
      </c>
      <c r="C68" t="s">
        <v>620</v>
      </c>
      <c r="D68" t="s">
        <v>9</v>
      </c>
      <c r="E68">
        <v>8618.41</v>
      </c>
      <c r="F68" t="s">
        <v>621</v>
      </c>
      <c r="L68" s="42" t="s">
        <v>742</v>
      </c>
      <c r="M68" s="43"/>
      <c r="N68" s="43"/>
      <c r="O68" s="43"/>
      <c r="P68" s="44"/>
    </row>
    <row r="69" spans="1:16">
      <c r="A69" t="s">
        <v>619</v>
      </c>
      <c r="B69">
        <v>1741</v>
      </c>
      <c r="C69" t="s">
        <v>623</v>
      </c>
      <c r="D69" t="s">
        <v>9</v>
      </c>
      <c r="E69">
        <v>29064.46</v>
      </c>
      <c r="F69" t="s">
        <v>622</v>
      </c>
      <c r="L69" s="42" t="s">
        <v>743</v>
      </c>
      <c r="M69" s="43"/>
      <c r="N69" s="43"/>
      <c r="O69" s="43"/>
      <c r="P69" s="44"/>
    </row>
    <row r="70" spans="1:16">
      <c r="A70" t="s">
        <v>619</v>
      </c>
      <c r="B70">
        <v>1742</v>
      </c>
      <c r="C70" t="s">
        <v>623</v>
      </c>
      <c r="D70" t="s">
        <v>9</v>
      </c>
      <c r="E70">
        <v>15284</v>
      </c>
      <c r="F70" t="s">
        <v>632</v>
      </c>
      <c r="L70" s="42" t="s">
        <v>744</v>
      </c>
      <c r="M70" s="43"/>
      <c r="N70" s="43"/>
      <c r="O70" s="43"/>
      <c r="P70" s="44"/>
    </row>
    <row r="71" spans="1:16">
      <c r="A71" t="s">
        <v>619</v>
      </c>
      <c r="B71">
        <v>1744</v>
      </c>
      <c r="C71" t="s">
        <v>12</v>
      </c>
      <c r="D71" t="s">
        <v>10</v>
      </c>
      <c r="E71">
        <v>4382</v>
      </c>
      <c r="F71" t="s">
        <v>542</v>
      </c>
      <c r="L71" s="42" t="s">
        <v>745</v>
      </c>
      <c r="M71" s="43"/>
      <c r="N71" s="43"/>
      <c r="O71" s="43"/>
      <c r="P71" s="44"/>
    </row>
    <row r="72" spans="1:16">
      <c r="A72" t="s">
        <v>624</v>
      </c>
      <c r="B72">
        <v>1758</v>
      </c>
      <c r="C72" t="s">
        <v>625</v>
      </c>
      <c r="D72" t="s">
        <v>9</v>
      </c>
      <c r="E72">
        <v>11861</v>
      </c>
      <c r="F72" t="s">
        <v>546</v>
      </c>
      <c r="L72" s="42" t="s">
        <v>746</v>
      </c>
      <c r="M72" s="43"/>
      <c r="N72" s="43"/>
      <c r="O72" s="43"/>
      <c r="P72" s="44"/>
    </row>
    <row r="73" spans="1:16">
      <c r="A73" t="s">
        <v>624</v>
      </c>
      <c r="B73">
        <v>1757</v>
      </c>
      <c r="C73" t="s">
        <v>625</v>
      </c>
      <c r="D73" t="s">
        <v>9</v>
      </c>
      <c r="E73">
        <v>13211</v>
      </c>
      <c r="F73" t="s">
        <v>546</v>
      </c>
      <c r="L73" s="42" t="s">
        <v>747</v>
      </c>
      <c r="M73" s="43"/>
      <c r="N73" s="43"/>
      <c r="O73" s="43"/>
      <c r="P73" s="44"/>
    </row>
    <row r="74" spans="1:16">
      <c r="A74" t="s">
        <v>626</v>
      </c>
      <c r="B74">
        <v>1742</v>
      </c>
      <c r="C74" t="s">
        <v>627</v>
      </c>
      <c r="D74" t="s">
        <v>9</v>
      </c>
      <c r="E74">
        <v>13744.6</v>
      </c>
      <c r="F74" t="s">
        <v>628</v>
      </c>
      <c r="L74" s="42" t="s">
        <v>748</v>
      </c>
      <c r="M74" s="43"/>
      <c r="N74" s="43"/>
      <c r="O74" s="43"/>
      <c r="P74" s="44"/>
    </row>
    <row r="75" spans="1:16">
      <c r="A75" t="s">
        <v>626</v>
      </c>
      <c r="B75">
        <v>1741</v>
      </c>
      <c r="C75" t="s">
        <v>629</v>
      </c>
      <c r="D75" t="s">
        <v>630</v>
      </c>
      <c r="E75">
        <v>30820.5</v>
      </c>
      <c r="F75" t="s">
        <v>631</v>
      </c>
      <c r="L75" s="45" t="s">
        <v>749</v>
      </c>
      <c r="M75" s="46"/>
      <c r="N75" s="46"/>
      <c r="O75" s="46"/>
      <c r="P75" s="47"/>
    </row>
    <row r="76" spans="1:16">
      <c r="A76" t="s">
        <v>14</v>
      </c>
      <c r="B76">
        <v>1742</v>
      </c>
      <c r="C76" t="s">
        <v>633</v>
      </c>
      <c r="D76" t="s">
        <v>10</v>
      </c>
      <c r="E76">
        <v>11182.84</v>
      </c>
      <c r="F76" t="s">
        <v>634</v>
      </c>
      <c r="L76" s="48" t="s">
        <v>750</v>
      </c>
      <c r="M76" s="49"/>
      <c r="N76" s="49"/>
      <c r="O76" s="49"/>
      <c r="P76" s="50"/>
    </row>
    <row r="77" spans="1:16">
      <c r="A77" t="s">
        <v>635</v>
      </c>
      <c r="B77">
        <v>1744</v>
      </c>
      <c r="C77" t="s">
        <v>444</v>
      </c>
      <c r="D77" t="s">
        <v>10</v>
      </c>
      <c r="E77">
        <v>3842</v>
      </c>
      <c r="F77" t="s">
        <v>542</v>
      </c>
      <c r="L77" s="48" t="s">
        <v>751</v>
      </c>
      <c r="M77" s="49"/>
      <c r="N77" s="49"/>
      <c r="O77" s="49"/>
      <c r="P77" s="50"/>
    </row>
    <row r="78" spans="1:16">
      <c r="A78" t="s">
        <v>635</v>
      </c>
      <c r="B78">
        <v>1746</v>
      </c>
      <c r="C78" t="s">
        <v>625</v>
      </c>
      <c r="D78" t="s">
        <v>630</v>
      </c>
      <c r="E78">
        <v>22979</v>
      </c>
      <c r="F78" t="s">
        <v>546</v>
      </c>
    </row>
    <row r="79" spans="1:16">
      <c r="A79" s="2" t="s">
        <v>732</v>
      </c>
      <c r="B79">
        <v>1803</v>
      </c>
      <c r="C79" s="2" t="s">
        <v>733</v>
      </c>
      <c r="D79" s="2" t="s">
        <v>734</v>
      </c>
      <c r="E79">
        <v>6100.93</v>
      </c>
      <c r="F79" t="s">
        <v>735</v>
      </c>
    </row>
    <row r="80" spans="1:16">
      <c r="A80" s="2" t="s">
        <v>736</v>
      </c>
      <c r="B80">
        <v>1745</v>
      </c>
      <c r="C80" s="2" t="s">
        <v>737</v>
      </c>
      <c r="D80" s="2" t="s">
        <v>738</v>
      </c>
      <c r="E80">
        <v>37992.5</v>
      </c>
      <c r="F80" t="s">
        <v>631</v>
      </c>
    </row>
    <row r="81" spans="1:9">
      <c r="A81" s="2" t="s">
        <v>739</v>
      </c>
      <c r="B81">
        <v>1744</v>
      </c>
      <c r="C81" s="2" t="s">
        <v>740</v>
      </c>
      <c r="D81" s="2" t="s">
        <v>738</v>
      </c>
      <c r="E81">
        <v>157058.5</v>
      </c>
      <c r="F81" t="s">
        <v>741</v>
      </c>
    </row>
    <row r="85" spans="1:9">
      <c r="F85" s="2"/>
      <c r="G85" s="2"/>
      <c r="H85" s="2"/>
      <c r="I85" s="2"/>
    </row>
    <row r="86" spans="1:9">
      <c r="F86" s="2"/>
      <c r="G86" s="2"/>
      <c r="H86" s="2"/>
      <c r="I86" s="2"/>
    </row>
    <row r="87" spans="1:9">
      <c r="F87" s="2"/>
      <c r="G87" s="2"/>
      <c r="H87" s="2"/>
      <c r="I87" s="2"/>
    </row>
    <row r="88" spans="1:9">
      <c r="F88" s="2"/>
      <c r="G88" s="2"/>
      <c r="H88" s="2"/>
      <c r="I88" s="2"/>
    </row>
    <row r="89" spans="1:9">
      <c r="F89" s="2"/>
      <c r="G89" s="2"/>
      <c r="H89" s="2"/>
      <c r="I89" s="2"/>
    </row>
    <row r="90" spans="1:9">
      <c r="F90" s="2"/>
      <c r="G90" s="2"/>
      <c r="H90" s="2"/>
    </row>
    <row r="142" spans="14:14">
      <c r="N142" t="s">
        <v>7</v>
      </c>
    </row>
    <row r="158" spans="14:14">
      <c r="N158" t="s">
        <v>6</v>
      </c>
    </row>
    <row r="318" spans="14:14">
      <c r="N318" t="s">
        <v>5</v>
      </c>
    </row>
    <row r="319" spans="14:14">
      <c r="N319" t="s">
        <v>0</v>
      </c>
    </row>
  </sheetData>
  <protectedRanges>
    <protectedRange sqref="L68:P69 L71:P72" name="区域1"/>
    <protectedRange sqref="L72:P72" name="区域1_15"/>
    <protectedRange sqref="L68:P68" name="区域1_22"/>
    <protectedRange sqref="L69:P69" name="区域1_24"/>
    <protectedRange sqref="L71:P71" name="区域1_25"/>
    <protectedRange sqref="L71:P71" name="区域1_15_1"/>
    <protectedRange sqref="L72:P72" name="区域1_14_1"/>
    <protectedRange sqref="L73:P73" name="区域1_65"/>
    <protectedRange sqref="L73:P73" name="区域1_15_3"/>
    <protectedRange sqref="L73:P73" name="区域1_14_1_2"/>
    <protectedRange sqref="L72:P72" name="区域1_66"/>
    <protectedRange sqref="L72:P72" name="区域1_24_1"/>
    <protectedRange sqref="L71:P71" name="区域1_67"/>
    <protectedRange sqref="L71:P71" name="区域1_23_1"/>
    <protectedRange sqref="L69:P69" name="区域1_68"/>
    <protectedRange sqref="L69:P69" name="区域1_22_1"/>
    <protectedRange sqref="L69:P69" name="区域1_69"/>
    <protectedRange sqref="L69:P69" name="区域1_22_2"/>
    <protectedRange sqref="L72:P72" name="区域1_64_1"/>
    <protectedRange sqref="L72:P72" name="区域1_15_2_1"/>
    <protectedRange sqref="L72:P72" name="区域1_14_1_1_1"/>
    <protectedRange sqref="L69:P69" name="区域1_85"/>
    <protectedRange sqref="L69:P69" name="区域1_25_1"/>
    <protectedRange sqref="L69:P69" name="区域1_15_1_1"/>
    <protectedRange sqref="L69:P69" name="区域1_67_1"/>
    <protectedRange sqref="L69:P69" name="区域1_23_1_1"/>
    <protectedRange sqref="L71:P71" name="区域1_65_1"/>
    <protectedRange sqref="L71:P71" name="区域1_15_3_1"/>
    <protectedRange sqref="L71:P71" name="区域1_14_1_2_1"/>
    <protectedRange sqref="L73:P73" name="区域1_14_4"/>
    <protectedRange sqref="L73:P73" name="区域1_14_2_1_1"/>
    <protectedRange sqref="L73:P73" name="区域1_124"/>
    <protectedRange sqref="L73:P73" name="区域1_15_5"/>
    <protectedRange sqref="L73:P73" name="区域1_14_1_4"/>
    <protectedRange sqref="L73:P73" name="区域1_66_2"/>
    <protectedRange sqref="L73:P73" name="区域1_24_1_2"/>
    <protectedRange sqref="L73:P73" name="区域1_64_1_2"/>
    <protectedRange sqref="L73:P73" name="区域1_15_2_1_2"/>
    <protectedRange sqref="L73:P73" name="区域1_14_1_1_1_2"/>
    <protectedRange sqref="L72:P72" name="区域1_125"/>
    <protectedRange sqref="L72:P72" name="区域1_25_2"/>
    <protectedRange sqref="L72:P72" name="区域1_15_1_2"/>
    <protectedRange sqref="L72:P72" name="区域1_67_2"/>
    <protectedRange sqref="L72:P72" name="区域1_23_1_2"/>
    <protectedRange sqref="L72:P72" name="区域1_65_1_1"/>
    <protectedRange sqref="L72:P72" name="区域1_15_3_1_1"/>
    <protectedRange sqref="L72:P72" name="区域1_14_1_2_1_1"/>
    <protectedRange sqref="L71:P71" name="区域1_126"/>
    <protectedRange sqref="L71:P71" name="区域1_24_3"/>
    <protectedRange sqref="L71:P71" name="区域1_68_2"/>
    <protectedRange sqref="L71:P71" name="区域1_22_1_2"/>
    <protectedRange sqref="L71:P71" name="区域1_69_2"/>
    <protectedRange sqref="L71:P71" name="区域1_22_2_2"/>
    <protectedRange sqref="L71:P71" name="区域1_85_1"/>
    <protectedRange sqref="L71:P71" name="区域1_25_1_1"/>
    <protectedRange sqref="L71:P71" name="区域1_15_1_1_1"/>
    <protectedRange sqref="L71:P71" name="区域1_67_1_1"/>
    <protectedRange sqref="L71:P71" name="区域1_23_1_1_1"/>
    <protectedRange sqref="L69:P69" name="区域1_127"/>
    <protectedRange sqref="L69:P69" name="区域1_23_2"/>
    <protectedRange sqref="L69:P69" name="区域1_84_1"/>
    <protectedRange sqref="L69:P69" name="区域1_24_2_1"/>
    <protectedRange sqref="L69:P69" name="区域1_68_1_1"/>
    <protectedRange sqref="L69:P69" name="区域1_22_1_1_1"/>
    <protectedRange sqref="L69:P69" name="区域1_69_1_1"/>
    <protectedRange sqref="L69:P69" name="区域1_22_2_1_1"/>
    <protectedRange sqref="L69:P69" name="区域1_141"/>
    <protectedRange sqref="L69:P69" name="区域1_25_3"/>
    <protectedRange sqref="L69:P69" name="区域1_15_1_3"/>
    <protectedRange sqref="L69:P69" name="区域1_67_3"/>
    <protectedRange sqref="L69:P69" name="区域1_23_1_3"/>
    <protectedRange sqref="L69:P69" name="区域1_65_1_2"/>
    <protectedRange sqref="L69:P69" name="区域1_15_3_1_2"/>
    <protectedRange sqref="L69:P69" name="区域1_14_1_2_1_2"/>
    <protectedRange sqref="L69:P69" name="区域1_126_1"/>
    <protectedRange sqref="L69:P69" name="区域1_24_3_1"/>
    <protectedRange sqref="L69:P69" name="区域1_68_2_1"/>
    <protectedRange sqref="L69:P69" name="区域1_22_1_2_1"/>
    <protectedRange sqref="L69:P69" name="区域1_69_2_1"/>
    <protectedRange sqref="L69:P69" name="区域1_22_2_2_1"/>
    <protectedRange sqref="L69:P69" name="区域1_85_1_1"/>
    <protectedRange sqref="L69:P69" name="区域1_25_1_1_1"/>
    <protectedRange sqref="L69:P69" name="区域1_15_1_1_1_1"/>
    <protectedRange sqref="L69:P69" name="区域1_67_1_1_1"/>
    <protectedRange sqref="L69:P69" name="区域1_23_1_1_1_1"/>
    <protectedRange sqref="L71:P71" name="区域1_142"/>
    <protectedRange sqref="L71:P71" name="区域1_15_6"/>
    <protectedRange sqref="L71:P71" name="区域1_14_1_5"/>
    <protectedRange sqref="L71:P71" name="区域1_66_3"/>
    <protectedRange sqref="L71:P71" name="区域1_24_1_3"/>
    <protectedRange sqref="L71:P71" name="区域1_64_1_3"/>
    <protectedRange sqref="L71:P71" name="区域1_15_2_1_3"/>
    <protectedRange sqref="L71:P71" name="区域1_14_1_1_1_3"/>
    <protectedRange sqref="L71:P71" name="区域1_125_1"/>
    <protectedRange sqref="L71:P71" name="区域1_25_2_1"/>
    <protectedRange sqref="L71:P71" name="区域1_15_1_2_1"/>
    <protectedRange sqref="L71:P71" name="区域1_67_2_1"/>
    <protectedRange sqref="L71:P71" name="区域1_23_1_2_1"/>
    <protectedRange sqref="L71:P71" name="区域1_65_1_1_1"/>
    <protectedRange sqref="L71:P71" name="区域1_15_3_1_1_1"/>
    <protectedRange sqref="L71:P71" name="区域1_14_1_2_1_1_1"/>
    <protectedRange sqref="L72:P72" name="区域1_65_4"/>
    <protectedRange sqref="L72:P72" name="区域1_15_3_4"/>
    <protectedRange sqref="L72:P72" name="区域1_14_1_2_4"/>
    <protectedRange sqref="L72:P72" name="区域1_14_4_2"/>
    <protectedRange sqref="L72:P72" name="区域1_14_2_1_1_2"/>
    <protectedRange sqref="L72:P72" name="区域1_124_1"/>
    <protectedRange sqref="L72:P72" name="区域1_15_5_1"/>
    <protectedRange sqref="L72:P72" name="区域1_14_1_4_1"/>
    <protectedRange sqref="L72:P72" name="区域1_66_2_1"/>
    <protectedRange sqref="L72:P72" name="区域1_24_1_2_1"/>
    <protectedRange sqref="L72:P72" name="区域1_64_1_2_1"/>
    <protectedRange sqref="L72:P72" name="区域1_15_2_1_2_1"/>
    <protectedRange sqref="L72:P72" name="区域1_14_1_1_1_2_1"/>
    <protectedRange sqref="L73:P73" name="区域1_65_2_2_1"/>
    <protectedRange sqref="L73:P73" name="区域1_15_3_2_2_1"/>
    <protectedRange sqref="L73:P73" name="区域1_14_1_2_2_2_1"/>
    <protectedRange sqref="L73:P73" name="区域1_65_3_1_1"/>
    <protectedRange sqref="L73:P73" name="区域1_15_3_3_1_1"/>
    <protectedRange sqref="L73:P73" name="区域1_14_1_2_3_1_1"/>
    <protectedRange sqref="L73:P73" name="区域1_14_4_1_1_1"/>
    <protectedRange sqref="L73:P73" name="区域1_14_2_1_1_1_1_1"/>
    <protectedRange sqref="L73:P73" name="区域1_65_2_2_2"/>
    <protectedRange sqref="L73:P73" name="区域1_15_3_2_2_2"/>
    <protectedRange sqref="L73:P73" name="区域1_14_1_2_2_2_2"/>
    <protectedRange sqref="L73:P73" name="区域1_65_3_1_2"/>
    <protectedRange sqref="L73:P73" name="区域1_15_3_3_1_2"/>
    <protectedRange sqref="L73:P73" name="区域1_14_1_2_3_1_2"/>
    <protectedRange sqref="L73:P73" name="区域1_14_4_1_1_2"/>
    <protectedRange sqref="L73:P73" name="区域1_14_2_1_1_1_1_2"/>
    <protectedRange sqref="L75:P75" name="区域1_4"/>
  </protectedRanges>
  <autoFilter ref="A3:F63">
    <sortState ref="A4:F63">
      <sortCondition descending="1" ref="B3:B63"/>
    </sortState>
  </autoFilter>
  <mergeCells count="10">
    <mergeCell ref="L74:P74"/>
    <mergeCell ref="L75:P75"/>
    <mergeCell ref="L76:P76"/>
    <mergeCell ref="L77:P77"/>
    <mergeCell ref="L68:P68"/>
    <mergeCell ref="L69:P69"/>
    <mergeCell ref="L70:P70"/>
    <mergeCell ref="L71:P71"/>
    <mergeCell ref="L72:P72"/>
    <mergeCell ref="L73:P73"/>
  </mergeCells>
  <phoneticPr fontId="0" type="noConversion"/>
  <conditionalFormatting sqref="I1:I2">
    <cfRule type="expression" priority="1">
      <formula>C1="USD"</formula>
    </cfRule>
  </conditionalFormatting>
  <pageMargins left="0.7" right="0.7" top="0.75" bottom="0.75" header="0.3" footer="0.3"/>
  <pageSetup paperSize="9" orientation="portrait" horizontalDpi="300" verticalDpi="300" r:id="rId1"/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11"/>
  <dimension ref="A1:K27"/>
  <sheetViews>
    <sheetView topLeftCell="A2" workbookViewId="0">
      <selection activeCell="B16" sqref="B16"/>
    </sheetView>
  </sheetViews>
  <sheetFormatPr defaultRowHeight="13.5"/>
  <cols>
    <col min="1" max="4" width="17.875" customWidth="1"/>
    <col min="6" max="6" width="14.75" customWidth="1"/>
    <col min="7" max="8" width="21.625" customWidth="1"/>
    <col min="9" max="9" width="21.625" style="36" customWidth="1"/>
  </cols>
  <sheetData>
    <row r="1" spans="1:11">
      <c r="A1" t="s">
        <v>636</v>
      </c>
      <c r="B1" t="s">
        <v>637</v>
      </c>
      <c r="F1" s="51" t="s">
        <v>654</v>
      </c>
      <c r="G1" s="51"/>
      <c r="H1" s="51"/>
      <c r="I1" s="51"/>
      <c r="J1" s="51"/>
      <c r="K1" s="51"/>
    </row>
    <row r="2" spans="1:11">
      <c r="A2" t="s">
        <v>638</v>
      </c>
      <c r="B2" t="s">
        <v>639</v>
      </c>
      <c r="F2" s="36" t="s">
        <v>1028</v>
      </c>
    </row>
    <row r="3" spans="1:11">
      <c r="A3" t="s">
        <v>640</v>
      </c>
      <c r="B3" t="s">
        <v>641</v>
      </c>
    </row>
    <row r="4" spans="1:11">
      <c r="A4" t="s">
        <v>642</v>
      </c>
      <c r="B4" t="s">
        <v>643</v>
      </c>
    </row>
    <row r="5" spans="1:11">
      <c r="A5" t="s">
        <v>644</v>
      </c>
      <c r="B5" t="s">
        <v>645</v>
      </c>
    </row>
    <row r="6" spans="1:11">
      <c r="A6" t="s">
        <v>646</v>
      </c>
      <c r="B6" t="s">
        <v>647</v>
      </c>
    </row>
    <row r="7" spans="1:11">
      <c r="A7" t="s">
        <v>648</v>
      </c>
      <c r="B7" t="s">
        <v>649</v>
      </c>
    </row>
    <row r="8" spans="1:11">
      <c r="A8" t="s">
        <v>650</v>
      </c>
      <c r="B8" t="s">
        <v>651</v>
      </c>
    </row>
    <row r="9" spans="1:11">
      <c r="A9" t="s">
        <v>652</v>
      </c>
      <c r="B9" t="s">
        <v>653</v>
      </c>
    </row>
    <row r="10" spans="1:11">
      <c r="A10" s="2" t="s">
        <v>730</v>
      </c>
      <c r="B10" s="2" t="s">
        <v>731</v>
      </c>
    </row>
    <row r="13" spans="1:11">
      <c r="A13" s="36" t="s">
        <v>1019</v>
      </c>
      <c r="B13" s="36" t="s">
        <v>1016</v>
      </c>
      <c r="C13" s="36" t="s">
        <v>1017</v>
      </c>
      <c r="D13" s="36" t="s">
        <v>1018</v>
      </c>
      <c r="F13" s="36"/>
      <c r="G13" s="36"/>
      <c r="H13" s="36"/>
      <c r="J13" s="21"/>
    </row>
    <row r="14" spans="1:11">
      <c r="A14" s="39">
        <v>43215.291666666664</v>
      </c>
      <c r="B14" s="39">
        <v>43215.819444444445</v>
      </c>
      <c r="C14" s="39">
        <v>43216.041666666664</v>
      </c>
      <c r="D14" s="39">
        <v>43216.229166666664</v>
      </c>
      <c r="I14" s="32"/>
      <c r="K14" s="23"/>
    </row>
    <row r="15" spans="1:11">
      <c r="H15" s="34"/>
      <c r="K15" s="22"/>
    </row>
    <row r="16" spans="1:11">
      <c r="G16" s="35"/>
    </row>
    <row r="18" spans="1:11">
      <c r="A18" s="36" t="s">
        <v>1020</v>
      </c>
      <c r="B18" s="21">
        <f>SUM(B26:C26)</f>
        <v>928.59899999999993</v>
      </c>
      <c r="C18" s="36" t="s">
        <v>1023</v>
      </c>
      <c r="D18" s="41">
        <f>ROUND(B18/$B$20,2)</f>
        <v>174.22</v>
      </c>
      <c r="F18" s="38" t="s">
        <v>1024</v>
      </c>
      <c r="G18" s="41">
        <f>(B14-A14)*24</f>
        <v>12.666666666744277</v>
      </c>
      <c r="H18" s="35"/>
      <c r="K18" s="35"/>
    </row>
    <row r="19" spans="1:11">
      <c r="A19" s="36" t="s">
        <v>1021</v>
      </c>
      <c r="B19" s="40">
        <f>SUM(B27:C27)</f>
        <v>836.85300000000007</v>
      </c>
      <c r="C19" s="22" t="s">
        <v>1014</v>
      </c>
      <c r="D19" s="41">
        <f>ROUND(B19/$B$20,2)</f>
        <v>157.01</v>
      </c>
      <c r="F19" s="38" t="s">
        <v>1025</v>
      </c>
      <c r="G19" s="41">
        <f>(D14-C14)*24</f>
        <v>4.5</v>
      </c>
      <c r="H19" s="26"/>
      <c r="I19" s="26"/>
    </row>
    <row r="20" spans="1:11">
      <c r="A20" s="36" t="s">
        <v>1022</v>
      </c>
      <c r="B20" s="41">
        <f>ROUND((C14-B14)*24,2)</f>
        <v>5.33</v>
      </c>
      <c r="F20" s="38" t="s">
        <v>1026</v>
      </c>
      <c r="G20" s="41">
        <f>(B14-A14)*24</f>
        <v>12.666666666744277</v>
      </c>
    </row>
    <row r="21" spans="1:11">
      <c r="B21" s="41" t="str">
        <f>B18&amp;"M3"&amp;"/"&amp;B20&amp;"H="&amp;D18&amp;"M3/H"</f>
        <v>928.599M3/5.33H=174.22M3/H</v>
      </c>
      <c r="F21" s="38" t="s">
        <v>1027</v>
      </c>
      <c r="G21" s="41">
        <f>(D14-C14)*24</f>
        <v>4.5</v>
      </c>
    </row>
    <row r="22" spans="1:11">
      <c r="B22" s="41" t="str">
        <f>B19&amp;"MT"&amp;"/"&amp;B20&amp;"H="&amp;D19&amp;"M3/H"</f>
        <v>836.853MT/5.33H=157.01M3/H</v>
      </c>
    </row>
    <row r="24" spans="1:11">
      <c r="B24" s="24" t="str">
        <f>B21&amp;B22</f>
        <v>928.599M3/5.33H=174.22M3/H836.853MT/5.33H=157.01M3/H</v>
      </c>
    </row>
    <row r="26" spans="1:11">
      <c r="B26">
        <v>446.35399999999998</v>
      </c>
      <c r="C26">
        <v>482.245</v>
      </c>
    </row>
    <row r="27" spans="1:11">
      <c r="B27">
        <v>402.25400000000002</v>
      </c>
      <c r="C27">
        <v>434.59899999999999</v>
      </c>
    </row>
  </sheetData>
  <protectedRanges>
    <protectedRange sqref="F1:K1" name="区域1"/>
    <protectedRange sqref="F1:K1" name="区域1_10"/>
  </protectedRanges>
  <mergeCells count="1">
    <mergeCell ref="F1:K1"/>
  </mergeCells>
  <phoneticPr fontId="0" type="noConversion"/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>
  <sheetPr codeName="Sheet3"/>
  <dimension ref="A1:K69"/>
  <sheetViews>
    <sheetView tabSelected="1" topLeftCell="C1" workbookViewId="0">
      <selection activeCell="F14" sqref="F14"/>
    </sheetView>
  </sheetViews>
  <sheetFormatPr defaultRowHeight="13.5"/>
  <cols>
    <col min="1" max="1" width="11.625" bestFit="1" customWidth="1"/>
    <col min="3" max="3" width="12.75" bestFit="1" customWidth="1"/>
    <col min="4" max="4" width="11.75" customWidth="1"/>
    <col min="5" max="5" width="18.875" customWidth="1"/>
    <col min="6" max="7" width="21.625" bestFit="1" customWidth="1"/>
    <col min="8" max="8" width="17" customWidth="1"/>
    <col min="9" max="10" width="9.5" bestFit="1" customWidth="1"/>
    <col min="14" max="14" width="9.5" bestFit="1" customWidth="1"/>
  </cols>
  <sheetData>
    <row r="1" spans="1:7">
      <c r="A1" s="20" t="s">
        <v>986</v>
      </c>
    </row>
    <row r="2" spans="1:7">
      <c r="A2" s="20" t="s">
        <v>987</v>
      </c>
      <c r="C2" t="s">
        <v>537</v>
      </c>
      <c r="D2">
        <v>100500</v>
      </c>
    </row>
    <row r="3" spans="1:7">
      <c r="A3" s="20" t="s">
        <v>988</v>
      </c>
      <c r="C3" t="s">
        <v>536</v>
      </c>
      <c r="D3">
        <v>97000</v>
      </c>
    </row>
    <row r="4" spans="1:7">
      <c r="A4" s="20" t="s">
        <v>989</v>
      </c>
      <c r="C4" t="s">
        <v>538</v>
      </c>
      <c r="D4">
        <f>SUM(D2:D3)</f>
        <v>197500</v>
      </c>
      <c r="E4">
        <f>D4*0.1264</f>
        <v>24964.000000000004</v>
      </c>
    </row>
    <row r="5" spans="1:7">
      <c r="A5" s="20" t="s">
        <v>990</v>
      </c>
      <c r="C5" t="s">
        <v>539</v>
      </c>
      <c r="D5">
        <f>E5/0.1264</f>
        <v>181624.76265822782</v>
      </c>
      <c r="E5">
        <v>22957.37</v>
      </c>
    </row>
    <row r="6" spans="1:7">
      <c r="A6" s="20" t="s">
        <v>991</v>
      </c>
      <c r="D6">
        <f>D4-D5</f>
        <v>15875.237341772183</v>
      </c>
      <c r="E6">
        <f>E4-E5</f>
        <v>2006.6300000000047</v>
      </c>
    </row>
    <row r="7" spans="1:7">
      <c r="A7" s="20" t="s">
        <v>992</v>
      </c>
      <c r="D7">
        <v>5115</v>
      </c>
      <c r="E7">
        <f>D7*0.1264</f>
        <v>646.53600000000006</v>
      </c>
    </row>
    <row r="8" spans="1:7">
      <c r="A8" s="20" t="s">
        <v>993</v>
      </c>
    </row>
    <row r="9" spans="1:7">
      <c r="A9" s="20" t="s">
        <v>994</v>
      </c>
    </row>
    <row r="10" spans="1:7">
      <c r="A10" s="20" t="s">
        <v>995</v>
      </c>
    </row>
    <row r="11" spans="1:7">
      <c r="A11" s="20" t="s">
        <v>996</v>
      </c>
    </row>
    <row r="12" spans="1:7">
      <c r="A12" s="20" t="s">
        <v>997</v>
      </c>
    </row>
    <row r="13" spans="1:7">
      <c r="A13" s="20" t="s">
        <v>998</v>
      </c>
      <c r="C13" s="6" t="s">
        <v>775</v>
      </c>
      <c r="G13" s="25"/>
    </row>
    <row r="14" spans="1:7">
      <c r="A14" s="20" t="s">
        <v>999</v>
      </c>
      <c r="C14" s="6" t="s">
        <v>776</v>
      </c>
      <c r="G14" t="s">
        <v>1015</v>
      </c>
    </row>
    <row r="15" spans="1:7">
      <c r="A15" s="1" t="s">
        <v>1000</v>
      </c>
      <c r="C15" s="6" t="s">
        <v>777</v>
      </c>
      <c r="E15" s="1">
        <v>8.3892000000000007</v>
      </c>
    </row>
    <row r="16" spans="1:7">
      <c r="A16" s="1" t="s">
        <v>1001</v>
      </c>
      <c r="C16" s="6" t="s">
        <v>778</v>
      </c>
      <c r="E16" s="35"/>
    </row>
    <row r="17" spans="1:11">
      <c r="A17" s="1" t="s">
        <v>1002</v>
      </c>
      <c r="C17" s="6" t="s">
        <v>779</v>
      </c>
    </row>
    <row r="18" spans="1:11">
      <c r="A18" s="1" t="s">
        <v>1003</v>
      </c>
      <c r="C18" s="6" t="s">
        <v>780</v>
      </c>
      <c r="E18" s="35"/>
    </row>
    <row r="19" spans="1:11">
      <c r="A19" s="1" t="s">
        <v>1004</v>
      </c>
      <c r="C19" s="6" t="s">
        <v>781</v>
      </c>
      <c r="E19" t="e">
        <f ca="1">textjoin("L",1,港口码头对应表!H15:H16)</f>
        <v>#NAME?</v>
      </c>
    </row>
    <row r="20" spans="1:11">
      <c r="A20" s="1" t="s">
        <v>1005</v>
      </c>
      <c r="C20" s="6" t="s">
        <v>782</v>
      </c>
    </row>
    <row r="21" spans="1:11">
      <c r="A21" s="1" t="s">
        <v>1006</v>
      </c>
      <c r="C21" s="6" t="s">
        <v>783</v>
      </c>
    </row>
    <row r="22" spans="1:11">
      <c r="A22" s="20" t="s">
        <v>1007</v>
      </c>
      <c r="C22" s="6" t="s">
        <v>784</v>
      </c>
      <c r="E22" s="4" t="s">
        <v>752</v>
      </c>
      <c r="F22" s="4" t="s">
        <v>753</v>
      </c>
      <c r="H22" s="35"/>
      <c r="I22" s="2" t="s">
        <v>754</v>
      </c>
      <c r="J22" s="35" t="s">
        <v>756</v>
      </c>
      <c r="K22" s="2" t="s">
        <v>755</v>
      </c>
    </row>
    <row r="23" spans="1:11">
      <c r="A23" s="20" t="s">
        <v>1008</v>
      </c>
      <c r="C23" s="6" t="s">
        <v>785</v>
      </c>
      <c r="E23" s="4">
        <v>2999.9560000000001</v>
      </c>
      <c r="F23" s="4">
        <v>6003</v>
      </c>
      <c r="G23">
        <v>0.93</v>
      </c>
      <c r="H23">
        <f>E23+F23</f>
        <v>9002.9560000000001</v>
      </c>
      <c r="I23">
        <f>H23/G23</f>
        <v>9680.597849462365</v>
      </c>
      <c r="J23">
        <v>59.583333333197515</v>
      </c>
      <c r="K23">
        <f>I23/J23</f>
        <v>162.47157229903942</v>
      </c>
    </row>
    <row r="24" spans="1:11">
      <c r="A24" s="20" t="s">
        <v>1009</v>
      </c>
      <c r="C24" s="6" t="s">
        <v>786</v>
      </c>
      <c r="E24">
        <v>3000</v>
      </c>
      <c r="F24" s="35">
        <v>4000.9430000000002</v>
      </c>
      <c r="G24" s="35">
        <v>0.93</v>
      </c>
      <c r="H24" s="2">
        <f>E24+F24</f>
        <v>7000.9430000000002</v>
      </c>
      <c r="I24" s="2">
        <f>H24/G24</f>
        <v>7527.8956989247308</v>
      </c>
      <c r="J24">
        <v>33.333333333372138</v>
      </c>
      <c r="K24" s="2">
        <f>I24/J24</f>
        <v>225.83687096747903</v>
      </c>
    </row>
    <row r="25" spans="1:11">
      <c r="A25" s="20" t="s">
        <v>1010</v>
      </c>
      <c r="C25" s="6" t="s">
        <v>774</v>
      </c>
      <c r="F25" s="5">
        <v>4983.9570000000003</v>
      </c>
      <c r="G25" s="2">
        <v>1.4</v>
      </c>
      <c r="H25" s="2">
        <f>E25+F25</f>
        <v>4983.9570000000003</v>
      </c>
      <c r="I25" s="2">
        <f>H25/G25</f>
        <v>3559.9692857142863</v>
      </c>
      <c r="J25" s="2">
        <v>17.75</v>
      </c>
      <c r="K25" s="2">
        <f>I25/J25</f>
        <v>200.5616498993964</v>
      </c>
    </row>
    <row r="26" spans="1:11">
      <c r="A26" s="20"/>
      <c r="B26">
        <v>10000</v>
      </c>
      <c r="C26" s="24">
        <f>B26/6.4915</f>
        <v>1540.4760070861896</v>
      </c>
      <c r="D26" s="19"/>
    </row>
    <row r="27" spans="1:11">
      <c r="A27" s="20"/>
      <c r="B27">
        <v>600</v>
      </c>
      <c r="C27" s="24">
        <f>B27/6.4915</f>
        <v>92.428560425171369</v>
      </c>
      <c r="F27" s="5">
        <v>4983.9570000000003</v>
      </c>
      <c r="G27">
        <v>1</v>
      </c>
    </row>
    <row r="28" spans="1:11">
      <c r="A28" s="20"/>
      <c r="B28">
        <v>2200</v>
      </c>
      <c r="C28" s="24">
        <f>B28/6.4915</f>
        <v>338.90472155896168</v>
      </c>
    </row>
    <row r="29" spans="1:11">
      <c r="A29" s="20">
        <v>54010351</v>
      </c>
      <c r="B29" t="s">
        <v>1011</v>
      </c>
      <c r="C29" s="21">
        <v>2200</v>
      </c>
      <c r="D29" s="24">
        <f>C29/6.4915</f>
        <v>338.90472155896168</v>
      </c>
    </row>
    <row r="30" spans="1:11">
      <c r="A30" s="20">
        <v>54010202</v>
      </c>
      <c r="B30" t="s">
        <v>1012</v>
      </c>
      <c r="C30" s="21">
        <v>10000</v>
      </c>
      <c r="D30" s="24">
        <f>C30/6.4915</f>
        <v>1540.4760070861896</v>
      </c>
    </row>
    <row r="31" spans="1:11">
      <c r="A31" s="20">
        <v>54010253</v>
      </c>
      <c r="B31" t="s">
        <v>1013</v>
      </c>
      <c r="C31" s="21">
        <v>600</v>
      </c>
      <c r="D31" s="24">
        <f>C31/6.4915</f>
        <v>92.428560425171369</v>
      </c>
    </row>
    <row r="32" spans="1:11">
      <c r="A32" s="20"/>
      <c r="C32">
        <f>SUM(C29:C31)</f>
        <v>12800</v>
      </c>
      <c r="D32" s="24">
        <f>SUM(D29:D31)</f>
        <v>1971.8092890703226</v>
      </c>
      <c r="E32" s="7">
        <v>36051</v>
      </c>
      <c r="F32">
        <v>100</v>
      </c>
    </row>
    <row r="33" spans="1:6">
      <c r="A33" s="20"/>
      <c r="E33" s="7">
        <v>2130</v>
      </c>
      <c r="F33">
        <v>115</v>
      </c>
    </row>
    <row r="34" spans="1:6">
      <c r="A34" s="20"/>
      <c r="E34" s="8">
        <f>(E33-E32)/E32</f>
        <v>-0.94091703420154782</v>
      </c>
    </row>
    <row r="35" spans="1:6">
      <c r="A35" s="20"/>
    </row>
    <row r="36" spans="1:6">
      <c r="A36" s="20"/>
    </row>
    <row r="37" spans="1:6">
      <c r="A37" s="20"/>
    </row>
    <row r="38" spans="1:6">
      <c r="A38" s="20"/>
    </row>
    <row r="39" spans="1:6">
      <c r="A39" s="20"/>
    </row>
    <row r="40" spans="1:6">
      <c r="A40" s="20"/>
    </row>
    <row r="41" spans="1:6">
      <c r="A41" s="20"/>
    </row>
    <row r="42" spans="1:6">
      <c r="A42" s="20"/>
    </row>
    <row r="43" spans="1:6">
      <c r="A43" s="20"/>
    </row>
    <row r="44" spans="1:6">
      <c r="A44" s="20"/>
    </row>
    <row r="45" spans="1:6">
      <c r="A45" s="20"/>
    </row>
    <row r="46" spans="1:6">
      <c r="A46" s="20"/>
    </row>
    <row r="47" spans="1:6">
      <c r="A47" s="20"/>
    </row>
    <row r="48" spans="1:6">
      <c r="A48" s="20"/>
    </row>
    <row r="49" spans="1:1">
      <c r="A49" s="20"/>
    </row>
    <row r="50" spans="1:1">
      <c r="A50" s="20"/>
    </row>
    <row r="51" spans="1:1">
      <c r="A51" s="20"/>
    </row>
    <row r="52" spans="1:1">
      <c r="A52" s="20"/>
    </row>
    <row r="53" spans="1:1">
      <c r="A53" s="20"/>
    </row>
    <row r="54" spans="1:1">
      <c r="A54" s="20"/>
    </row>
    <row r="55" spans="1:1">
      <c r="A55" s="20"/>
    </row>
    <row r="56" spans="1:1">
      <c r="A56" s="20"/>
    </row>
    <row r="57" spans="1:1">
      <c r="A57" s="20"/>
    </row>
    <row r="58" spans="1:1">
      <c r="A58" s="20"/>
    </row>
    <row r="59" spans="1:1">
      <c r="A59" s="20"/>
    </row>
    <row r="60" spans="1:1">
      <c r="A60" s="20"/>
    </row>
    <row r="61" spans="1:1">
      <c r="A61" s="20"/>
    </row>
    <row r="62" spans="1:1">
      <c r="A62" s="20"/>
    </row>
    <row r="63" spans="1:1">
      <c r="A63" s="20"/>
    </row>
    <row r="64" spans="1:1">
      <c r="A64" s="20"/>
    </row>
    <row r="65" spans="1:1">
      <c r="A65" s="20"/>
    </row>
    <row r="66" spans="1:1">
      <c r="A66" s="20"/>
    </row>
    <row r="67" spans="1:1">
      <c r="A67" s="20"/>
    </row>
    <row r="68" spans="1:1">
      <c r="A68" s="20"/>
    </row>
    <row r="69" spans="1:1">
      <c r="A69" s="20"/>
    </row>
  </sheetData>
  <phoneticPr fontId="0" type="noConversion"/>
  <pageMargins left="0.7" right="0.7" top="0.75" bottom="0.75" header="0.3" footer="0.3"/>
  <pageSetup paperSize="9" orientation="portrait" horizontalDpi="300" verticalDpi="300" r:id="rId1"/>
  <legacyDrawing r:id="rId2"/>
</worksheet>
</file>

<file path=xl/worksheets/sheet5.xml><?xml version="1.0" encoding="utf-8"?>
<worksheet xmlns="http://schemas.openxmlformats.org/spreadsheetml/2006/main" xmlns:r="http://schemas.openxmlformats.org/officeDocument/2006/relationships">
  <sheetPr codeName="Sheet10"/>
  <dimension ref="B1:K42"/>
  <sheetViews>
    <sheetView topLeftCell="A10" workbookViewId="0">
      <selection activeCell="D15" sqref="D15"/>
    </sheetView>
  </sheetViews>
  <sheetFormatPr defaultRowHeight="13.5"/>
  <cols>
    <col min="1" max="1" width="9.125" customWidth="1"/>
    <col min="2" max="2" width="13.75" style="31" customWidth="1"/>
    <col min="3" max="3" width="10.5" bestFit="1" customWidth="1"/>
    <col min="4" max="4" width="13.875" bestFit="1" customWidth="1"/>
    <col min="6" max="6" width="12.75" bestFit="1" customWidth="1"/>
    <col min="17" max="17" width="13.75" customWidth="1"/>
    <col min="18" max="18" width="13.125" customWidth="1"/>
  </cols>
  <sheetData>
    <row r="1" spans="2:2">
      <c r="B1"/>
    </row>
    <row r="2" spans="2:2">
      <c r="B2"/>
    </row>
    <row r="3" spans="2:2">
      <c r="B3"/>
    </row>
    <row r="4" spans="2:2">
      <c r="B4"/>
    </row>
    <row r="5" spans="2:2">
      <c r="B5"/>
    </row>
    <row r="6" spans="2:2">
      <c r="B6"/>
    </row>
    <row r="7" spans="2:2">
      <c r="B7"/>
    </row>
    <row r="8" spans="2:2">
      <c r="B8"/>
    </row>
    <row r="9" spans="2:2">
      <c r="B9"/>
    </row>
    <row r="10" spans="2:2">
      <c r="B10"/>
    </row>
    <row r="11" spans="2:2">
      <c r="B11"/>
    </row>
    <row r="12" spans="2:2">
      <c r="B12"/>
    </row>
    <row r="13" spans="2:2">
      <c r="B13"/>
    </row>
    <row r="14" spans="2:2">
      <c r="B14"/>
    </row>
    <row r="15" spans="2:2">
      <c r="B15"/>
    </row>
    <row r="16" spans="2:2">
      <c r="B16"/>
    </row>
    <row r="17" spans="2:11">
      <c r="B17"/>
    </row>
    <row r="18" spans="2:11">
      <c r="B18"/>
    </row>
    <row r="19" spans="2:11" ht="13.5" customHeight="1">
      <c r="B19"/>
    </row>
    <row r="20" spans="2:11" ht="13.5" customHeight="1">
      <c r="B20"/>
    </row>
    <row r="21" spans="2:11" ht="13.5" customHeight="1">
      <c r="B21"/>
    </row>
    <row r="22" spans="2:11" ht="13.5" customHeight="1"/>
    <row r="23" spans="2:11" ht="13.5" customHeight="1">
      <c r="K23" s="33" t="str">
        <f t="shared" ref="K23:K42" si="0">K3&amp;CHAR(10)&amp;L3</f>
        <v xml:space="preserve">
</v>
      </c>
    </row>
    <row r="24" spans="2:11" ht="13.5" customHeight="1">
      <c r="K24" t="str">
        <f t="shared" si="0"/>
        <v xml:space="preserve">
</v>
      </c>
    </row>
    <row r="25" spans="2:11" ht="13.5" customHeight="1">
      <c r="K25" t="str">
        <f t="shared" si="0"/>
        <v xml:space="preserve">
</v>
      </c>
    </row>
    <row r="26" spans="2:11" ht="13.5" customHeight="1">
      <c r="K26" t="str">
        <f t="shared" si="0"/>
        <v xml:space="preserve">
</v>
      </c>
    </row>
    <row r="27" spans="2:11" ht="13.5" customHeight="1">
      <c r="K27" t="str">
        <f t="shared" si="0"/>
        <v xml:space="preserve">
</v>
      </c>
    </row>
    <row r="28" spans="2:11" ht="13.5" customHeight="1">
      <c r="K28" t="str">
        <f t="shared" si="0"/>
        <v xml:space="preserve">
</v>
      </c>
    </row>
    <row r="29" spans="2:11" ht="13.5" customHeight="1">
      <c r="K29" t="str">
        <f t="shared" si="0"/>
        <v xml:space="preserve">
</v>
      </c>
    </row>
    <row r="30" spans="2:11" ht="13.5" customHeight="1">
      <c r="K30" t="str">
        <f t="shared" si="0"/>
        <v xml:space="preserve">
</v>
      </c>
    </row>
    <row r="31" spans="2:11" ht="13.5" customHeight="1">
      <c r="K31" t="str">
        <f t="shared" si="0"/>
        <v xml:space="preserve">
</v>
      </c>
    </row>
    <row r="32" spans="2:11" ht="13.5" customHeight="1">
      <c r="K32" t="str">
        <f t="shared" si="0"/>
        <v xml:space="preserve">
</v>
      </c>
    </row>
    <row r="33" spans="11:11" ht="13.5" customHeight="1">
      <c r="K33" t="str">
        <f t="shared" si="0"/>
        <v xml:space="preserve">
</v>
      </c>
    </row>
    <row r="34" spans="11:11" ht="13.5" customHeight="1">
      <c r="K34" t="str">
        <f t="shared" si="0"/>
        <v xml:space="preserve">
</v>
      </c>
    </row>
    <row r="35" spans="11:11" ht="13.5" customHeight="1">
      <c r="K35" t="str">
        <f t="shared" si="0"/>
        <v xml:space="preserve">
</v>
      </c>
    </row>
    <row r="36" spans="11:11" ht="13.5" customHeight="1">
      <c r="K36" t="str">
        <f t="shared" si="0"/>
        <v xml:space="preserve">
</v>
      </c>
    </row>
    <row r="37" spans="11:11" ht="13.5" customHeight="1">
      <c r="K37" t="str">
        <f t="shared" si="0"/>
        <v xml:space="preserve">
</v>
      </c>
    </row>
    <row r="38" spans="11:11" ht="13.5" customHeight="1">
      <c r="K38" t="str">
        <f t="shared" si="0"/>
        <v xml:space="preserve">
</v>
      </c>
    </row>
    <row r="39" spans="11:11" ht="13.5" customHeight="1">
      <c r="K39" t="str">
        <f t="shared" si="0"/>
        <v xml:space="preserve">
</v>
      </c>
    </row>
    <row r="40" spans="11:11" ht="13.5" customHeight="1">
      <c r="K40" t="str">
        <f t="shared" si="0"/>
        <v xml:space="preserve">
</v>
      </c>
    </row>
    <row r="41" spans="11:11" ht="13.5" customHeight="1">
      <c r="K41" t="str">
        <f t="shared" si="0"/>
        <v xml:space="preserve">
</v>
      </c>
    </row>
    <row r="42" spans="11:11" ht="13.5" customHeight="1">
      <c r="K42" t="str">
        <f t="shared" si="0"/>
        <v xml:space="preserve">
</v>
      </c>
    </row>
  </sheetData>
  <sortState ref="Y5:Z14">
    <sortCondition descending="1" ref="Z5"/>
  </sortState>
  <phoneticPr fontId="0" type="noConversion"/>
  <pageMargins left="0.7" right="0.7" top="0.75" bottom="0.75" header="0.3" footer="0.3"/>
  <legacyDrawing r:id="rId1"/>
</worksheet>
</file>

<file path=xl/worksheets/sheet6.xml><?xml version="1.0" encoding="utf-8"?>
<worksheet xmlns="http://schemas.openxmlformats.org/spreadsheetml/2006/main" xmlns:r="http://schemas.openxmlformats.org/officeDocument/2006/relationships">
  <sheetPr codeName="Sheet4"/>
  <dimension ref="A1:H46"/>
  <sheetViews>
    <sheetView workbookViewId="0">
      <selection activeCell="A9" sqref="A9"/>
    </sheetView>
  </sheetViews>
  <sheetFormatPr defaultRowHeight="13.5"/>
  <cols>
    <col min="1" max="1" width="43.875" customWidth="1"/>
    <col min="3" max="3" width="9" customWidth="1"/>
    <col min="7" max="7" width="34.5" customWidth="1"/>
    <col min="8" max="8" width="20.875" customWidth="1"/>
  </cols>
  <sheetData>
    <row r="1" spans="1:3">
      <c r="A1" t="s">
        <v>448</v>
      </c>
      <c r="B1" t="s">
        <v>449</v>
      </c>
      <c r="C1" t="s">
        <v>450</v>
      </c>
    </row>
    <row r="2" spans="1:3">
      <c r="A2" t="s">
        <v>451</v>
      </c>
      <c r="B2" t="s">
        <v>452</v>
      </c>
      <c r="C2" t="s">
        <v>478</v>
      </c>
    </row>
    <row r="3" spans="1:3">
      <c r="A3" t="s">
        <v>453</v>
      </c>
      <c r="B3" t="s">
        <v>454</v>
      </c>
      <c r="C3" t="s">
        <v>455</v>
      </c>
    </row>
    <row r="4" spans="1:3">
      <c r="A4" t="s">
        <v>456</v>
      </c>
      <c r="B4" t="s">
        <v>457</v>
      </c>
    </row>
    <row r="5" spans="1:3">
      <c r="A5" t="s">
        <v>458</v>
      </c>
      <c r="B5" t="s">
        <v>457</v>
      </c>
    </row>
    <row r="6" spans="1:3">
      <c r="A6" t="s">
        <v>459</v>
      </c>
      <c r="B6" t="s">
        <v>457</v>
      </c>
    </row>
    <row r="7" spans="1:3">
      <c r="A7" t="s">
        <v>460</v>
      </c>
      <c r="B7" t="s">
        <v>461</v>
      </c>
    </row>
    <row r="8" spans="1:3">
      <c r="A8" t="s">
        <v>462</v>
      </c>
      <c r="B8" t="s">
        <v>463</v>
      </c>
      <c r="C8" t="s">
        <v>464</v>
      </c>
    </row>
    <row r="9" spans="1:3">
      <c r="A9" t="s">
        <v>465</v>
      </c>
      <c r="B9" t="s">
        <v>466</v>
      </c>
      <c r="C9" t="s">
        <v>467</v>
      </c>
    </row>
    <row r="10" spans="1:3">
      <c r="A10" t="s">
        <v>468</v>
      </c>
      <c r="B10" t="s">
        <v>469</v>
      </c>
      <c r="C10" t="s">
        <v>477</v>
      </c>
    </row>
    <row r="11" spans="1:3">
      <c r="A11" t="s">
        <v>470</v>
      </c>
      <c r="B11" t="s">
        <v>471</v>
      </c>
    </row>
    <row r="12" spans="1:3">
      <c r="A12" t="s">
        <v>472</v>
      </c>
      <c r="B12" t="s">
        <v>473</v>
      </c>
      <c r="C12" t="s">
        <v>474</v>
      </c>
    </row>
    <row r="13" spans="1:3" ht="33.75" customHeight="1">
      <c r="A13" t="s">
        <v>475</v>
      </c>
      <c r="B13">
        <v>1</v>
      </c>
      <c r="C13" t="s">
        <v>476</v>
      </c>
    </row>
    <row r="30" spans="7:8">
      <c r="G30" t="s">
        <v>552</v>
      </c>
    </row>
    <row r="31" spans="7:8">
      <c r="G31" t="s">
        <v>553</v>
      </c>
      <c r="H31" t="s">
        <v>558</v>
      </c>
    </row>
    <row r="32" spans="7:8">
      <c r="G32" t="s">
        <v>557</v>
      </c>
      <c r="H32" t="s">
        <v>569</v>
      </c>
    </row>
    <row r="35" spans="7:8">
      <c r="G35" t="s">
        <v>556</v>
      </c>
      <c r="H35" t="s">
        <v>549</v>
      </c>
    </row>
    <row r="36" spans="7:8">
      <c r="G36" t="s">
        <v>550</v>
      </c>
      <c r="H36" t="s">
        <v>568</v>
      </c>
    </row>
    <row r="37" spans="7:8">
      <c r="G37" t="s">
        <v>555</v>
      </c>
      <c r="H37" t="s">
        <v>564</v>
      </c>
    </row>
    <row r="38" spans="7:8">
      <c r="G38" t="s">
        <v>554</v>
      </c>
      <c r="H38" t="s">
        <v>563</v>
      </c>
    </row>
    <row r="39" spans="7:8">
      <c r="G39" t="s">
        <v>551</v>
      </c>
      <c r="H39" t="s">
        <v>567</v>
      </c>
    </row>
    <row r="42" spans="7:8">
      <c r="G42" t="s">
        <v>559</v>
      </c>
    </row>
    <row r="43" spans="7:8">
      <c r="G43" t="s">
        <v>560</v>
      </c>
      <c r="H43" t="s">
        <v>566</v>
      </c>
    </row>
    <row r="44" spans="7:8">
      <c r="G44" t="s">
        <v>561</v>
      </c>
      <c r="H44" t="s">
        <v>565</v>
      </c>
    </row>
    <row r="45" spans="7:8">
      <c r="G45" t="s">
        <v>562</v>
      </c>
      <c r="H45" t="s">
        <v>565</v>
      </c>
    </row>
    <row r="46" spans="7:8">
      <c r="G46" t="s">
        <v>570</v>
      </c>
      <c r="H46" t="s">
        <v>571</v>
      </c>
    </row>
  </sheetData>
  <phoneticPr fontId="0" type="noConversion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>
  <sheetPr codeName="Sheet9"/>
  <dimension ref="A2:P388"/>
  <sheetViews>
    <sheetView topLeftCell="L350" workbookViewId="0">
      <selection activeCell="M377" sqref="M377"/>
    </sheetView>
  </sheetViews>
  <sheetFormatPr defaultRowHeight="13.5"/>
  <cols>
    <col min="7" max="7" width="13" customWidth="1"/>
  </cols>
  <sheetData>
    <row r="2" spans="1:16">
      <c r="A2" t="s">
        <v>41</v>
      </c>
      <c r="B2" t="s">
        <v>38</v>
      </c>
      <c r="C2" t="s">
        <v>36</v>
      </c>
      <c r="D2" t="s">
        <v>98</v>
      </c>
      <c r="E2" t="s">
        <v>99</v>
      </c>
      <c r="F2" t="s">
        <v>100</v>
      </c>
      <c r="G2" t="s">
        <v>101</v>
      </c>
      <c r="J2" t="s">
        <v>90</v>
      </c>
      <c r="K2" t="s">
        <v>37</v>
      </c>
      <c r="L2" t="s">
        <v>35</v>
      </c>
      <c r="M2" t="s">
        <v>95</v>
      </c>
      <c r="N2" t="s">
        <v>96</v>
      </c>
      <c r="O2" t="s">
        <v>97</v>
      </c>
      <c r="P2" t="s">
        <v>91</v>
      </c>
    </row>
    <row r="3" spans="1:16">
      <c r="A3" t="s">
        <v>42</v>
      </c>
      <c r="B3" t="s">
        <v>38</v>
      </c>
      <c r="C3" t="s">
        <v>36</v>
      </c>
      <c r="D3" t="s">
        <v>98</v>
      </c>
      <c r="E3" t="s">
        <v>99</v>
      </c>
      <c r="F3" t="s">
        <v>100</v>
      </c>
      <c r="G3" t="s">
        <v>102</v>
      </c>
      <c r="J3" t="s">
        <v>160</v>
      </c>
      <c r="K3" t="s">
        <v>161</v>
      </c>
      <c r="L3" t="s">
        <v>162</v>
      </c>
      <c r="M3" t="s">
        <v>98</v>
      </c>
      <c r="N3" t="s">
        <v>438</v>
      </c>
      <c r="O3" t="s">
        <v>437</v>
      </c>
      <c r="P3">
        <v>201700001</v>
      </c>
    </row>
    <row r="4" spans="1:16">
      <c r="A4" t="s">
        <v>43</v>
      </c>
      <c r="B4" t="s">
        <v>38</v>
      </c>
      <c r="C4" t="s">
        <v>36</v>
      </c>
      <c r="D4" t="s">
        <v>98</v>
      </c>
      <c r="E4" t="s">
        <v>99</v>
      </c>
      <c r="F4" t="s">
        <v>100</v>
      </c>
      <c r="G4" t="s">
        <v>103</v>
      </c>
      <c r="J4" t="s">
        <v>163</v>
      </c>
      <c r="K4" t="s">
        <v>161</v>
      </c>
      <c r="L4" t="s">
        <v>162</v>
      </c>
      <c r="M4" t="s">
        <v>98</v>
      </c>
      <c r="N4" t="s">
        <v>438</v>
      </c>
      <c r="O4" t="s">
        <v>437</v>
      </c>
      <c r="P4">
        <v>201700002</v>
      </c>
    </row>
    <row r="5" spans="1:16">
      <c r="A5" t="s">
        <v>44</v>
      </c>
      <c r="B5" t="s">
        <v>38</v>
      </c>
      <c r="C5" t="s">
        <v>36</v>
      </c>
      <c r="D5" t="s">
        <v>98</v>
      </c>
      <c r="E5" t="s">
        <v>99</v>
      </c>
      <c r="F5" t="s">
        <v>100</v>
      </c>
      <c r="G5" t="s">
        <v>104</v>
      </c>
      <c r="J5" t="s">
        <v>164</v>
      </c>
      <c r="K5" t="s">
        <v>161</v>
      </c>
      <c r="L5" t="s">
        <v>162</v>
      </c>
      <c r="M5" t="s">
        <v>98</v>
      </c>
      <c r="N5" t="s">
        <v>438</v>
      </c>
      <c r="O5" t="s">
        <v>437</v>
      </c>
      <c r="P5">
        <v>201700003</v>
      </c>
    </row>
    <row r="6" spans="1:16">
      <c r="A6" t="s">
        <v>45</v>
      </c>
      <c r="B6" t="s">
        <v>38</v>
      </c>
      <c r="C6" t="s">
        <v>36</v>
      </c>
      <c r="D6" t="s">
        <v>98</v>
      </c>
      <c r="E6" t="s">
        <v>99</v>
      </c>
      <c r="F6" t="s">
        <v>100</v>
      </c>
      <c r="G6" t="s">
        <v>105</v>
      </c>
      <c r="J6" t="s">
        <v>165</v>
      </c>
      <c r="K6" t="s">
        <v>161</v>
      </c>
      <c r="L6" t="s">
        <v>162</v>
      </c>
      <c r="M6" t="s">
        <v>98</v>
      </c>
      <c r="N6" t="s">
        <v>438</v>
      </c>
      <c r="O6" t="s">
        <v>437</v>
      </c>
      <c r="P6">
        <v>201700004</v>
      </c>
    </row>
    <row r="7" spans="1:16">
      <c r="A7" t="s">
        <v>46</v>
      </c>
      <c r="B7" t="s">
        <v>38</v>
      </c>
      <c r="C7" t="s">
        <v>36</v>
      </c>
      <c r="D7" t="s">
        <v>98</v>
      </c>
      <c r="E7" t="s">
        <v>99</v>
      </c>
      <c r="F7" t="s">
        <v>100</v>
      </c>
      <c r="G7" t="s">
        <v>106</v>
      </c>
      <c r="J7" t="s">
        <v>166</v>
      </c>
      <c r="K7" t="s">
        <v>161</v>
      </c>
      <c r="L7" t="s">
        <v>162</v>
      </c>
      <c r="M7" t="s">
        <v>98</v>
      </c>
      <c r="N7" t="s">
        <v>438</v>
      </c>
      <c r="O7" t="s">
        <v>437</v>
      </c>
      <c r="P7">
        <v>201700005</v>
      </c>
    </row>
    <row r="8" spans="1:16">
      <c r="A8" t="s">
        <v>47</v>
      </c>
      <c r="B8" t="s">
        <v>38</v>
      </c>
      <c r="C8" t="s">
        <v>36</v>
      </c>
      <c r="D8" t="s">
        <v>98</v>
      </c>
      <c r="E8" t="s">
        <v>99</v>
      </c>
      <c r="F8" t="s">
        <v>100</v>
      </c>
      <c r="G8" t="s">
        <v>107</v>
      </c>
      <c r="J8" t="s">
        <v>167</v>
      </c>
      <c r="K8" t="s">
        <v>161</v>
      </c>
      <c r="L8" t="s">
        <v>162</v>
      </c>
      <c r="M8" t="s">
        <v>98</v>
      </c>
      <c r="N8" t="s">
        <v>438</v>
      </c>
      <c r="O8" t="s">
        <v>437</v>
      </c>
      <c r="P8">
        <v>201700006</v>
      </c>
    </row>
    <row r="9" spans="1:16">
      <c r="A9" t="s">
        <v>48</v>
      </c>
      <c r="B9" t="s">
        <v>38</v>
      </c>
      <c r="C9" t="s">
        <v>36</v>
      </c>
      <c r="D9" t="s">
        <v>98</v>
      </c>
      <c r="E9" t="s">
        <v>99</v>
      </c>
      <c r="F9" t="s">
        <v>100</v>
      </c>
      <c r="G9" t="s">
        <v>108</v>
      </c>
      <c r="J9" t="s">
        <v>168</v>
      </c>
      <c r="K9" t="s">
        <v>161</v>
      </c>
      <c r="L9" t="s">
        <v>162</v>
      </c>
      <c r="M9" t="s">
        <v>98</v>
      </c>
      <c r="N9" t="s">
        <v>438</v>
      </c>
      <c r="O9" t="s">
        <v>437</v>
      </c>
      <c r="P9">
        <v>201700007</v>
      </c>
    </row>
    <row r="10" spans="1:16">
      <c r="A10" t="s">
        <v>49</v>
      </c>
      <c r="B10" t="s">
        <v>38</v>
      </c>
      <c r="C10" t="s">
        <v>36</v>
      </c>
      <c r="D10" t="s">
        <v>98</v>
      </c>
      <c r="E10" t="s">
        <v>99</v>
      </c>
      <c r="F10" t="s">
        <v>100</v>
      </c>
      <c r="G10" t="s">
        <v>109</v>
      </c>
      <c r="J10" t="s">
        <v>169</v>
      </c>
      <c r="K10" t="s">
        <v>161</v>
      </c>
      <c r="L10" t="s">
        <v>162</v>
      </c>
      <c r="M10" t="s">
        <v>98</v>
      </c>
      <c r="N10" t="s">
        <v>438</v>
      </c>
      <c r="O10" t="s">
        <v>437</v>
      </c>
      <c r="P10">
        <v>201700008</v>
      </c>
    </row>
    <row r="11" spans="1:16">
      <c r="A11" t="s">
        <v>50</v>
      </c>
      <c r="B11" t="s">
        <v>38</v>
      </c>
      <c r="C11" t="s">
        <v>36</v>
      </c>
      <c r="D11" t="s">
        <v>98</v>
      </c>
      <c r="E11" t="s">
        <v>99</v>
      </c>
      <c r="F11" t="s">
        <v>100</v>
      </c>
      <c r="G11" t="s">
        <v>110</v>
      </c>
      <c r="J11" t="s">
        <v>170</v>
      </c>
      <c r="K11" t="s">
        <v>161</v>
      </c>
      <c r="L11" t="s">
        <v>162</v>
      </c>
      <c r="M11" t="s">
        <v>98</v>
      </c>
      <c r="N11" t="s">
        <v>438</v>
      </c>
      <c r="O11" t="s">
        <v>437</v>
      </c>
      <c r="P11">
        <v>201700009</v>
      </c>
    </row>
    <row r="12" spans="1:16">
      <c r="A12" t="s">
        <v>51</v>
      </c>
      <c r="B12" t="s">
        <v>38</v>
      </c>
      <c r="C12" t="s">
        <v>36</v>
      </c>
      <c r="D12" t="s">
        <v>98</v>
      </c>
      <c r="E12" t="s">
        <v>99</v>
      </c>
      <c r="F12" t="s">
        <v>100</v>
      </c>
      <c r="G12" t="s">
        <v>111</v>
      </c>
      <c r="J12" t="s">
        <v>171</v>
      </c>
      <c r="K12" t="s">
        <v>161</v>
      </c>
      <c r="L12" t="s">
        <v>162</v>
      </c>
      <c r="M12" t="s">
        <v>98</v>
      </c>
      <c r="N12" t="s">
        <v>438</v>
      </c>
      <c r="O12" t="s">
        <v>437</v>
      </c>
      <c r="P12">
        <v>201700010</v>
      </c>
    </row>
    <row r="13" spans="1:16">
      <c r="A13" t="s">
        <v>52</v>
      </c>
      <c r="B13" t="s">
        <v>38</v>
      </c>
      <c r="C13" t="s">
        <v>36</v>
      </c>
      <c r="D13" t="s">
        <v>98</v>
      </c>
      <c r="E13" t="s">
        <v>99</v>
      </c>
      <c r="F13" t="s">
        <v>100</v>
      </c>
      <c r="G13" t="s">
        <v>112</v>
      </c>
      <c r="J13" t="s">
        <v>172</v>
      </c>
      <c r="K13" t="s">
        <v>161</v>
      </c>
      <c r="L13" t="s">
        <v>162</v>
      </c>
      <c r="M13" t="s">
        <v>98</v>
      </c>
      <c r="N13" t="s">
        <v>438</v>
      </c>
      <c r="O13" t="s">
        <v>437</v>
      </c>
      <c r="P13">
        <v>201700011</v>
      </c>
    </row>
    <row r="14" spans="1:16">
      <c r="A14" t="s">
        <v>94</v>
      </c>
      <c r="B14" t="s">
        <v>38</v>
      </c>
      <c r="C14" t="s">
        <v>36</v>
      </c>
      <c r="D14" t="s">
        <v>98</v>
      </c>
      <c r="E14" t="s">
        <v>99</v>
      </c>
      <c r="F14" t="s">
        <v>100</v>
      </c>
      <c r="G14" t="s">
        <v>113</v>
      </c>
      <c r="J14" t="s">
        <v>173</v>
      </c>
      <c r="K14" t="s">
        <v>161</v>
      </c>
      <c r="L14" t="s">
        <v>162</v>
      </c>
      <c r="M14" t="s">
        <v>98</v>
      </c>
      <c r="N14" t="s">
        <v>438</v>
      </c>
      <c r="O14" t="s">
        <v>437</v>
      </c>
      <c r="P14">
        <v>201700012</v>
      </c>
    </row>
    <row r="15" spans="1:16">
      <c r="B15" t="s">
        <v>38</v>
      </c>
      <c r="C15" t="s">
        <v>36</v>
      </c>
      <c r="D15" t="s">
        <v>98</v>
      </c>
      <c r="E15" t="s">
        <v>99</v>
      </c>
      <c r="F15" t="s">
        <v>100</v>
      </c>
      <c r="G15" t="s">
        <v>114</v>
      </c>
      <c r="J15" t="s">
        <v>174</v>
      </c>
      <c r="K15" t="s">
        <v>161</v>
      </c>
      <c r="L15" t="s">
        <v>162</v>
      </c>
      <c r="M15" t="s">
        <v>98</v>
      </c>
      <c r="N15" t="s">
        <v>438</v>
      </c>
      <c r="O15" t="s">
        <v>437</v>
      </c>
      <c r="P15">
        <v>201700013</v>
      </c>
    </row>
    <row r="16" spans="1:16">
      <c r="A16" t="s">
        <v>53</v>
      </c>
      <c r="B16" t="s">
        <v>38</v>
      </c>
      <c r="C16" t="s">
        <v>36</v>
      </c>
      <c r="D16" t="s">
        <v>98</v>
      </c>
      <c r="E16" t="s">
        <v>99</v>
      </c>
      <c r="F16" t="s">
        <v>100</v>
      </c>
      <c r="G16" t="s">
        <v>115</v>
      </c>
      <c r="J16" t="s">
        <v>175</v>
      </c>
      <c r="K16" t="s">
        <v>161</v>
      </c>
      <c r="L16" t="s">
        <v>162</v>
      </c>
      <c r="M16" t="s">
        <v>98</v>
      </c>
      <c r="N16" t="s">
        <v>438</v>
      </c>
      <c r="O16" t="s">
        <v>437</v>
      </c>
      <c r="P16">
        <v>201700014</v>
      </c>
    </row>
    <row r="17" spans="1:16">
      <c r="A17" t="s">
        <v>54</v>
      </c>
      <c r="B17" t="s">
        <v>38</v>
      </c>
      <c r="C17" t="s">
        <v>36</v>
      </c>
      <c r="D17" t="s">
        <v>98</v>
      </c>
      <c r="E17" t="s">
        <v>99</v>
      </c>
      <c r="F17" t="s">
        <v>100</v>
      </c>
      <c r="G17" t="s">
        <v>116</v>
      </c>
      <c r="J17" t="s">
        <v>176</v>
      </c>
      <c r="K17" t="s">
        <v>161</v>
      </c>
      <c r="L17" t="s">
        <v>162</v>
      </c>
      <c r="M17" t="s">
        <v>98</v>
      </c>
      <c r="N17" t="s">
        <v>438</v>
      </c>
      <c r="O17" t="s">
        <v>437</v>
      </c>
      <c r="P17">
        <v>201700015</v>
      </c>
    </row>
    <row r="18" spans="1:16">
      <c r="A18" t="s">
        <v>55</v>
      </c>
      <c r="B18" t="s">
        <v>38</v>
      </c>
      <c r="C18" t="s">
        <v>36</v>
      </c>
      <c r="D18" t="s">
        <v>98</v>
      </c>
      <c r="E18" t="s">
        <v>99</v>
      </c>
      <c r="F18" t="s">
        <v>100</v>
      </c>
      <c r="G18" t="s">
        <v>117</v>
      </c>
      <c r="J18" t="s">
        <v>177</v>
      </c>
      <c r="K18" t="s">
        <v>161</v>
      </c>
      <c r="L18" t="s">
        <v>162</v>
      </c>
      <c r="M18" t="s">
        <v>98</v>
      </c>
      <c r="N18" t="s">
        <v>438</v>
      </c>
      <c r="O18" t="s">
        <v>437</v>
      </c>
      <c r="P18">
        <v>201700016</v>
      </c>
    </row>
    <row r="19" spans="1:16">
      <c r="A19" t="s">
        <v>56</v>
      </c>
      <c r="B19" t="s">
        <v>38</v>
      </c>
      <c r="C19" t="s">
        <v>36</v>
      </c>
      <c r="D19" t="s">
        <v>98</v>
      </c>
      <c r="E19" t="s">
        <v>99</v>
      </c>
      <c r="F19" t="s">
        <v>100</v>
      </c>
      <c r="G19" t="s">
        <v>118</v>
      </c>
      <c r="J19" t="s">
        <v>178</v>
      </c>
      <c r="K19" t="s">
        <v>161</v>
      </c>
      <c r="L19" t="s">
        <v>162</v>
      </c>
      <c r="M19" t="s">
        <v>98</v>
      </c>
      <c r="N19" t="s">
        <v>438</v>
      </c>
      <c r="O19" t="s">
        <v>437</v>
      </c>
      <c r="P19">
        <v>201700017</v>
      </c>
    </row>
    <row r="20" spans="1:16">
      <c r="A20" t="s">
        <v>57</v>
      </c>
      <c r="B20" t="s">
        <v>38</v>
      </c>
      <c r="C20" t="s">
        <v>36</v>
      </c>
      <c r="D20" t="s">
        <v>98</v>
      </c>
      <c r="E20" t="s">
        <v>99</v>
      </c>
      <c r="F20" t="s">
        <v>100</v>
      </c>
      <c r="G20" t="s">
        <v>119</v>
      </c>
      <c r="J20" t="s">
        <v>179</v>
      </c>
      <c r="K20" t="s">
        <v>161</v>
      </c>
      <c r="L20" t="s">
        <v>162</v>
      </c>
      <c r="M20" t="s">
        <v>98</v>
      </c>
      <c r="N20" t="s">
        <v>438</v>
      </c>
      <c r="O20" t="s">
        <v>437</v>
      </c>
      <c r="P20">
        <v>201700018</v>
      </c>
    </row>
    <row r="21" spans="1:16">
      <c r="A21" t="s">
        <v>58</v>
      </c>
      <c r="B21" t="s">
        <v>38</v>
      </c>
      <c r="C21" t="s">
        <v>36</v>
      </c>
      <c r="D21" t="s">
        <v>98</v>
      </c>
      <c r="E21" t="s">
        <v>99</v>
      </c>
      <c r="F21" t="s">
        <v>100</v>
      </c>
      <c r="G21" t="s">
        <v>120</v>
      </c>
      <c r="J21" t="s">
        <v>180</v>
      </c>
      <c r="K21" t="s">
        <v>161</v>
      </c>
      <c r="L21" t="s">
        <v>162</v>
      </c>
      <c r="M21" t="s">
        <v>98</v>
      </c>
      <c r="N21" t="s">
        <v>438</v>
      </c>
      <c r="O21" t="s">
        <v>437</v>
      </c>
      <c r="P21">
        <v>201700019</v>
      </c>
    </row>
    <row r="22" spans="1:16">
      <c r="A22" t="s">
        <v>59</v>
      </c>
      <c r="B22" t="s">
        <v>38</v>
      </c>
      <c r="C22" t="s">
        <v>36</v>
      </c>
      <c r="D22" t="s">
        <v>98</v>
      </c>
      <c r="E22" t="s">
        <v>99</v>
      </c>
      <c r="F22" t="s">
        <v>100</v>
      </c>
      <c r="G22" t="s">
        <v>121</v>
      </c>
      <c r="J22" t="s">
        <v>181</v>
      </c>
      <c r="K22" t="s">
        <v>161</v>
      </c>
      <c r="L22" t="s">
        <v>162</v>
      </c>
      <c r="M22" t="s">
        <v>98</v>
      </c>
      <c r="N22" t="s">
        <v>438</v>
      </c>
      <c r="O22" t="s">
        <v>437</v>
      </c>
      <c r="P22">
        <v>201700020</v>
      </c>
    </row>
    <row r="23" spans="1:16">
      <c r="A23" t="s">
        <v>60</v>
      </c>
      <c r="B23" t="s">
        <v>38</v>
      </c>
      <c r="C23" t="s">
        <v>36</v>
      </c>
      <c r="D23" t="s">
        <v>98</v>
      </c>
      <c r="E23" t="s">
        <v>99</v>
      </c>
      <c r="F23" t="s">
        <v>100</v>
      </c>
      <c r="G23" t="s">
        <v>122</v>
      </c>
      <c r="J23" t="s">
        <v>182</v>
      </c>
      <c r="K23" t="s">
        <v>161</v>
      </c>
      <c r="L23" t="s">
        <v>162</v>
      </c>
      <c r="M23" t="s">
        <v>98</v>
      </c>
      <c r="N23" t="s">
        <v>438</v>
      </c>
      <c r="O23" t="s">
        <v>437</v>
      </c>
      <c r="P23">
        <v>201700021</v>
      </c>
    </row>
    <row r="24" spans="1:16">
      <c r="A24" t="s">
        <v>61</v>
      </c>
      <c r="B24" t="s">
        <v>38</v>
      </c>
      <c r="C24" t="s">
        <v>36</v>
      </c>
      <c r="D24" t="s">
        <v>98</v>
      </c>
      <c r="E24" t="s">
        <v>99</v>
      </c>
      <c r="F24" t="s">
        <v>100</v>
      </c>
      <c r="G24" t="s">
        <v>123</v>
      </c>
      <c r="J24" t="s">
        <v>183</v>
      </c>
      <c r="K24" t="s">
        <v>161</v>
      </c>
      <c r="L24" t="s">
        <v>162</v>
      </c>
      <c r="M24" t="s">
        <v>98</v>
      </c>
      <c r="N24" t="s">
        <v>438</v>
      </c>
      <c r="O24" t="s">
        <v>437</v>
      </c>
      <c r="P24">
        <v>201700022</v>
      </c>
    </row>
    <row r="25" spans="1:16">
      <c r="A25" t="s">
        <v>62</v>
      </c>
      <c r="B25" t="s">
        <v>38</v>
      </c>
      <c r="C25" t="s">
        <v>36</v>
      </c>
      <c r="D25" t="s">
        <v>98</v>
      </c>
      <c r="E25" t="s">
        <v>99</v>
      </c>
      <c r="F25" t="s">
        <v>100</v>
      </c>
      <c r="G25" t="s">
        <v>124</v>
      </c>
      <c r="J25" t="s">
        <v>184</v>
      </c>
      <c r="K25" t="s">
        <v>161</v>
      </c>
      <c r="L25" t="s">
        <v>162</v>
      </c>
      <c r="M25" t="s">
        <v>98</v>
      </c>
      <c r="N25" t="s">
        <v>438</v>
      </c>
      <c r="O25" t="s">
        <v>437</v>
      </c>
      <c r="P25">
        <v>201700023</v>
      </c>
    </row>
    <row r="26" spans="1:16">
      <c r="A26" t="s">
        <v>63</v>
      </c>
      <c r="B26" t="s">
        <v>38</v>
      </c>
      <c r="C26" t="s">
        <v>36</v>
      </c>
      <c r="D26" t="s">
        <v>98</v>
      </c>
      <c r="E26" t="s">
        <v>99</v>
      </c>
      <c r="F26" t="s">
        <v>100</v>
      </c>
      <c r="G26" t="s">
        <v>125</v>
      </c>
      <c r="J26" t="s">
        <v>185</v>
      </c>
      <c r="K26" t="s">
        <v>161</v>
      </c>
      <c r="L26" t="s">
        <v>162</v>
      </c>
      <c r="M26" t="s">
        <v>98</v>
      </c>
      <c r="N26" t="s">
        <v>438</v>
      </c>
      <c r="O26" t="s">
        <v>437</v>
      </c>
      <c r="P26">
        <v>201700024</v>
      </c>
    </row>
    <row r="27" spans="1:16">
      <c r="A27" t="s">
        <v>64</v>
      </c>
      <c r="B27" t="s">
        <v>38</v>
      </c>
      <c r="C27" t="s">
        <v>36</v>
      </c>
      <c r="D27" t="s">
        <v>98</v>
      </c>
      <c r="E27" t="s">
        <v>99</v>
      </c>
      <c r="F27" t="s">
        <v>100</v>
      </c>
      <c r="G27" t="s">
        <v>126</v>
      </c>
      <c r="J27" t="s">
        <v>186</v>
      </c>
      <c r="K27" t="s">
        <v>161</v>
      </c>
      <c r="L27" t="s">
        <v>162</v>
      </c>
      <c r="M27" t="s">
        <v>98</v>
      </c>
      <c r="N27" t="s">
        <v>438</v>
      </c>
      <c r="O27" t="s">
        <v>437</v>
      </c>
      <c r="P27">
        <v>201700025</v>
      </c>
    </row>
    <row r="28" spans="1:16">
      <c r="A28" t="s">
        <v>65</v>
      </c>
      <c r="B28" t="s">
        <v>38</v>
      </c>
      <c r="C28" t="s">
        <v>36</v>
      </c>
      <c r="D28" t="s">
        <v>98</v>
      </c>
      <c r="E28" t="s">
        <v>99</v>
      </c>
      <c r="F28" t="s">
        <v>100</v>
      </c>
      <c r="G28" t="s">
        <v>127</v>
      </c>
      <c r="J28" t="s">
        <v>187</v>
      </c>
      <c r="K28" t="s">
        <v>161</v>
      </c>
      <c r="L28" t="s">
        <v>162</v>
      </c>
      <c r="M28" t="s">
        <v>98</v>
      </c>
      <c r="N28" t="s">
        <v>438</v>
      </c>
      <c r="O28" t="s">
        <v>437</v>
      </c>
      <c r="P28">
        <v>201700026</v>
      </c>
    </row>
    <row r="29" spans="1:16">
      <c r="A29" t="s">
        <v>66</v>
      </c>
      <c r="B29" t="s">
        <v>38</v>
      </c>
      <c r="C29" t="s">
        <v>36</v>
      </c>
      <c r="D29" t="s">
        <v>98</v>
      </c>
      <c r="E29" t="s">
        <v>99</v>
      </c>
      <c r="F29" t="s">
        <v>100</v>
      </c>
      <c r="G29" t="s">
        <v>128</v>
      </c>
      <c r="J29" t="s">
        <v>188</v>
      </c>
      <c r="K29" t="s">
        <v>161</v>
      </c>
      <c r="L29" t="s">
        <v>162</v>
      </c>
      <c r="M29" t="s">
        <v>98</v>
      </c>
      <c r="N29" t="s">
        <v>438</v>
      </c>
      <c r="O29" t="s">
        <v>437</v>
      </c>
      <c r="P29">
        <v>201700027</v>
      </c>
    </row>
    <row r="30" spans="1:16">
      <c r="A30" t="s">
        <v>67</v>
      </c>
      <c r="B30" t="s">
        <v>38</v>
      </c>
      <c r="C30" t="s">
        <v>36</v>
      </c>
      <c r="D30" t="s">
        <v>98</v>
      </c>
      <c r="E30" t="s">
        <v>99</v>
      </c>
      <c r="F30" t="s">
        <v>100</v>
      </c>
      <c r="G30" t="s">
        <v>129</v>
      </c>
      <c r="J30" t="s">
        <v>189</v>
      </c>
      <c r="K30" t="s">
        <v>161</v>
      </c>
      <c r="L30" t="s">
        <v>162</v>
      </c>
      <c r="M30" t="s">
        <v>98</v>
      </c>
      <c r="N30" t="s">
        <v>438</v>
      </c>
      <c r="O30" t="s">
        <v>437</v>
      </c>
      <c r="P30">
        <v>201700028</v>
      </c>
    </row>
    <row r="31" spans="1:16">
      <c r="A31" t="s">
        <v>68</v>
      </c>
      <c r="B31" t="s">
        <v>38</v>
      </c>
      <c r="C31" t="s">
        <v>36</v>
      </c>
      <c r="D31" t="s">
        <v>98</v>
      </c>
      <c r="E31" t="s">
        <v>99</v>
      </c>
      <c r="F31" t="s">
        <v>100</v>
      </c>
      <c r="G31" t="s">
        <v>130</v>
      </c>
      <c r="J31" t="s">
        <v>190</v>
      </c>
      <c r="K31" t="s">
        <v>161</v>
      </c>
      <c r="L31" t="s">
        <v>162</v>
      </c>
      <c r="M31" t="s">
        <v>98</v>
      </c>
      <c r="N31" t="s">
        <v>438</v>
      </c>
      <c r="O31" t="s">
        <v>437</v>
      </c>
      <c r="P31">
        <v>201700029</v>
      </c>
    </row>
    <row r="32" spans="1:16">
      <c r="A32" t="s">
        <v>69</v>
      </c>
      <c r="B32" t="s">
        <v>38</v>
      </c>
      <c r="C32" t="s">
        <v>36</v>
      </c>
      <c r="D32" t="s">
        <v>98</v>
      </c>
      <c r="E32" t="s">
        <v>99</v>
      </c>
      <c r="F32" t="s">
        <v>100</v>
      </c>
      <c r="G32" t="s">
        <v>131</v>
      </c>
      <c r="J32" t="s">
        <v>191</v>
      </c>
      <c r="K32" t="s">
        <v>161</v>
      </c>
      <c r="L32" t="s">
        <v>162</v>
      </c>
      <c r="M32" t="s">
        <v>98</v>
      </c>
      <c r="N32" t="s">
        <v>438</v>
      </c>
      <c r="O32" t="s">
        <v>437</v>
      </c>
      <c r="P32">
        <v>201700030</v>
      </c>
    </row>
    <row r="33" spans="1:16">
      <c r="A33" t="s">
        <v>89</v>
      </c>
      <c r="B33" t="s">
        <v>38</v>
      </c>
      <c r="C33" t="s">
        <v>36</v>
      </c>
      <c r="D33" t="s">
        <v>98</v>
      </c>
      <c r="E33" t="s">
        <v>99</v>
      </c>
      <c r="F33" t="s">
        <v>100</v>
      </c>
      <c r="G33" t="s">
        <v>132</v>
      </c>
      <c r="J33" t="s">
        <v>192</v>
      </c>
      <c r="K33" t="s">
        <v>161</v>
      </c>
      <c r="L33" t="s">
        <v>162</v>
      </c>
      <c r="M33" t="s">
        <v>98</v>
      </c>
      <c r="N33" t="s">
        <v>438</v>
      </c>
      <c r="O33" t="s">
        <v>437</v>
      </c>
      <c r="P33">
        <v>201700031</v>
      </c>
    </row>
    <row r="34" spans="1:16">
      <c r="A34" t="s">
        <v>71</v>
      </c>
      <c r="B34" t="s">
        <v>38</v>
      </c>
      <c r="C34" t="s">
        <v>36</v>
      </c>
      <c r="D34" t="s">
        <v>98</v>
      </c>
      <c r="E34" t="s">
        <v>99</v>
      </c>
      <c r="F34" t="s">
        <v>100</v>
      </c>
      <c r="G34" t="s">
        <v>133</v>
      </c>
      <c r="J34" t="s">
        <v>193</v>
      </c>
      <c r="K34" t="s">
        <v>161</v>
      </c>
      <c r="L34" t="s">
        <v>162</v>
      </c>
      <c r="M34" t="s">
        <v>98</v>
      </c>
      <c r="N34" t="s">
        <v>438</v>
      </c>
      <c r="O34" t="s">
        <v>437</v>
      </c>
      <c r="P34">
        <v>201700032</v>
      </c>
    </row>
    <row r="35" spans="1:16">
      <c r="A35" t="s">
        <v>72</v>
      </c>
      <c r="B35" t="s">
        <v>38</v>
      </c>
      <c r="C35" t="s">
        <v>36</v>
      </c>
      <c r="D35" t="s">
        <v>98</v>
      </c>
      <c r="E35" t="s">
        <v>99</v>
      </c>
      <c r="F35" t="s">
        <v>100</v>
      </c>
      <c r="G35" t="s">
        <v>134</v>
      </c>
      <c r="J35" t="s">
        <v>194</v>
      </c>
      <c r="K35" t="s">
        <v>161</v>
      </c>
      <c r="L35" t="s">
        <v>162</v>
      </c>
      <c r="M35" t="s">
        <v>98</v>
      </c>
      <c r="N35" t="s">
        <v>438</v>
      </c>
      <c r="O35" t="s">
        <v>437</v>
      </c>
      <c r="P35">
        <v>201700033</v>
      </c>
    </row>
    <row r="36" spans="1:16">
      <c r="A36" t="s">
        <v>73</v>
      </c>
      <c r="B36" t="s">
        <v>38</v>
      </c>
      <c r="C36" t="s">
        <v>36</v>
      </c>
      <c r="D36" t="s">
        <v>98</v>
      </c>
      <c r="E36" t="s">
        <v>99</v>
      </c>
      <c r="F36" t="s">
        <v>100</v>
      </c>
      <c r="G36" t="s">
        <v>135</v>
      </c>
      <c r="J36" t="s">
        <v>195</v>
      </c>
      <c r="K36" t="s">
        <v>161</v>
      </c>
      <c r="L36" t="s">
        <v>162</v>
      </c>
      <c r="M36" t="s">
        <v>98</v>
      </c>
      <c r="N36" t="s">
        <v>438</v>
      </c>
      <c r="O36" t="s">
        <v>437</v>
      </c>
      <c r="P36">
        <v>201700034</v>
      </c>
    </row>
    <row r="37" spans="1:16">
      <c r="A37" t="s">
        <v>74</v>
      </c>
      <c r="B37" t="s">
        <v>38</v>
      </c>
      <c r="C37" t="s">
        <v>36</v>
      </c>
      <c r="D37" t="s">
        <v>98</v>
      </c>
      <c r="E37" t="s">
        <v>99</v>
      </c>
      <c r="F37" t="s">
        <v>100</v>
      </c>
      <c r="G37" t="s">
        <v>136</v>
      </c>
      <c r="J37" t="s">
        <v>196</v>
      </c>
      <c r="K37" t="s">
        <v>161</v>
      </c>
      <c r="L37" t="s">
        <v>162</v>
      </c>
      <c r="M37" t="s">
        <v>98</v>
      </c>
      <c r="N37" t="s">
        <v>438</v>
      </c>
      <c r="O37" t="s">
        <v>437</v>
      </c>
      <c r="P37">
        <v>201700035</v>
      </c>
    </row>
    <row r="38" spans="1:16">
      <c r="A38" t="s">
        <v>75</v>
      </c>
      <c r="B38" t="s">
        <v>38</v>
      </c>
      <c r="C38" t="s">
        <v>36</v>
      </c>
      <c r="D38" t="s">
        <v>98</v>
      </c>
      <c r="E38" t="s">
        <v>99</v>
      </c>
      <c r="F38" t="s">
        <v>100</v>
      </c>
      <c r="G38" t="s">
        <v>137</v>
      </c>
      <c r="J38" t="s">
        <v>197</v>
      </c>
      <c r="K38" t="s">
        <v>161</v>
      </c>
      <c r="L38" t="s">
        <v>162</v>
      </c>
      <c r="M38" t="s">
        <v>98</v>
      </c>
      <c r="N38" t="s">
        <v>438</v>
      </c>
      <c r="O38" t="s">
        <v>437</v>
      </c>
      <c r="P38">
        <v>201700036</v>
      </c>
    </row>
    <row r="39" spans="1:16">
      <c r="A39" t="s">
        <v>76</v>
      </c>
      <c r="B39" t="s">
        <v>38</v>
      </c>
      <c r="C39" t="s">
        <v>36</v>
      </c>
      <c r="D39" t="s">
        <v>98</v>
      </c>
      <c r="E39" t="s">
        <v>99</v>
      </c>
      <c r="F39" t="s">
        <v>100</v>
      </c>
      <c r="G39" t="s">
        <v>138</v>
      </c>
      <c r="J39" t="s">
        <v>198</v>
      </c>
      <c r="K39" t="s">
        <v>161</v>
      </c>
      <c r="L39" t="s">
        <v>162</v>
      </c>
      <c r="M39" t="s">
        <v>98</v>
      </c>
      <c r="N39" t="s">
        <v>438</v>
      </c>
      <c r="O39" t="s">
        <v>437</v>
      </c>
      <c r="P39">
        <v>201700037</v>
      </c>
    </row>
    <row r="40" spans="1:16">
      <c r="A40" t="s">
        <v>77</v>
      </c>
      <c r="B40" t="s">
        <v>38</v>
      </c>
      <c r="C40" t="s">
        <v>36</v>
      </c>
      <c r="D40" t="s">
        <v>98</v>
      </c>
      <c r="E40" t="s">
        <v>99</v>
      </c>
      <c r="F40" t="s">
        <v>100</v>
      </c>
      <c r="G40" t="s">
        <v>139</v>
      </c>
      <c r="J40" t="s">
        <v>199</v>
      </c>
      <c r="K40" t="s">
        <v>161</v>
      </c>
      <c r="L40" t="s">
        <v>162</v>
      </c>
      <c r="M40" t="s">
        <v>98</v>
      </c>
      <c r="N40" t="s">
        <v>438</v>
      </c>
      <c r="O40" t="s">
        <v>437</v>
      </c>
      <c r="P40">
        <v>201700038</v>
      </c>
    </row>
    <row r="41" spans="1:16">
      <c r="A41" t="s">
        <v>78</v>
      </c>
      <c r="B41" t="s">
        <v>38</v>
      </c>
      <c r="C41" t="s">
        <v>36</v>
      </c>
      <c r="D41" t="s">
        <v>98</v>
      </c>
      <c r="E41" t="s">
        <v>99</v>
      </c>
      <c r="F41" t="s">
        <v>100</v>
      </c>
      <c r="G41" t="s">
        <v>140</v>
      </c>
      <c r="J41" t="s">
        <v>200</v>
      </c>
      <c r="K41" t="s">
        <v>161</v>
      </c>
      <c r="L41" t="s">
        <v>162</v>
      </c>
      <c r="M41" t="s">
        <v>98</v>
      </c>
      <c r="N41" t="s">
        <v>438</v>
      </c>
      <c r="O41" t="s">
        <v>437</v>
      </c>
      <c r="P41">
        <v>201700039</v>
      </c>
    </row>
    <row r="42" spans="1:16">
      <c r="A42" t="s">
        <v>79</v>
      </c>
      <c r="B42" t="s">
        <v>38</v>
      </c>
      <c r="C42" t="s">
        <v>36</v>
      </c>
      <c r="D42" t="s">
        <v>98</v>
      </c>
      <c r="E42" t="s">
        <v>99</v>
      </c>
      <c r="F42" t="s">
        <v>100</v>
      </c>
      <c r="G42" t="s">
        <v>141</v>
      </c>
      <c r="J42" t="s">
        <v>201</v>
      </c>
      <c r="K42" t="s">
        <v>161</v>
      </c>
      <c r="L42" t="s">
        <v>162</v>
      </c>
      <c r="M42" t="s">
        <v>98</v>
      </c>
      <c r="N42" t="s">
        <v>438</v>
      </c>
      <c r="O42" t="s">
        <v>437</v>
      </c>
      <c r="P42">
        <v>201700040</v>
      </c>
    </row>
    <row r="43" spans="1:16">
      <c r="A43" t="s">
        <v>93</v>
      </c>
      <c r="B43" t="s">
        <v>38</v>
      </c>
      <c r="C43" t="s">
        <v>36</v>
      </c>
      <c r="D43" t="s">
        <v>98</v>
      </c>
      <c r="E43" t="s">
        <v>99</v>
      </c>
      <c r="F43" t="s">
        <v>100</v>
      </c>
      <c r="G43" t="s">
        <v>142</v>
      </c>
      <c r="J43" t="s">
        <v>202</v>
      </c>
      <c r="K43" t="s">
        <v>161</v>
      </c>
      <c r="L43" t="s">
        <v>162</v>
      </c>
      <c r="M43" t="s">
        <v>98</v>
      </c>
      <c r="N43" t="s">
        <v>438</v>
      </c>
      <c r="O43" t="s">
        <v>437</v>
      </c>
      <c r="P43">
        <v>201700041</v>
      </c>
    </row>
    <row r="44" spans="1:16">
      <c r="A44" t="s">
        <v>92</v>
      </c>
      <c r="B44" t="s">
        <v>38</v>
      </c>
      <c r="C44" t="s">
        <v>36</v>
      </c>
      <c r="D44" t="s">
        <v>98</v>
      </c>
      <c r="E44" t="s">
        <v>99</v>
      </c>
      <c r="F44" t="s">
        <v>100</v>
      </c>
      <c r="G44" t="s">
        <v>143</v>
      </c>
      <c r="J44" t="s">
        <v>203</v>
      </c>
      <c r="K44" t="s">
        <v>161</v>
      </c>
      <c r="L44" t="s">
        <v>162</v>
      </c>
      <c r="M44" t="s">
        <v>98</v>
      </c>
      <c r="N44" t="s">
        <v>438</v>
      </c>
      <c r="O44" t="s">
        <v>437</v>
      </c>
      <c r="P44">
        <v>201700042</v>
      </c>
    </row>
    <row r="45" spans="1:16">
      <c r="A45" t="s">
        <v>80</v>
      </c>
      <c r="B45" t="s">
        <v>38</v>
      </c>
      <c r="C45" t="s">
        <v>36</v>
      </c>
      <c r="D45" t="s">
        <v>98</v>
      </c>
      <c r="E45" t="s">
        <v>99</v>
      </c>
      <c r="F45" t="s">
        <v>100</v>
      </c>
      <c r="G45" t="s">
        <v>144</v>
      </c>
      <c r="J45" t="s">
        <v>204</v>
      </c>
      <c r="K45" t="s">
        <v>161</v>
      </c>
      <c r="L45" t="s">
        <v>162</v>
      </c>
      <c r="M45" t="s">
        <v>98</v>
      </c>
      <c r="N45" t="s">
        <v>438</v>
      </c>
      <c r="O45" t="s">
        <v>437</v>
      </c>
      <c r="P45">
        <v>201700043</v>
      </c>
    </row>
    <row r="46" spans="1:16">
      <c r="A46" t="s">
        <v>81</v>
      </c>
      <c r="B46" t="s">
        <v>38</v>
      </c>
      <c r="C46" t="s">
        <v>36</v>
      </c>
      <c r="D46" t="s">
        <v>98</v>
      </c>
      <c r="E46" t="s">
        <v>99</v>
      </c>
      <c r="F46" t="s">
        <v>100</v>
      </c>
      <c r="G46" t="s">
        <v>145</v>
      </c>
      <c r="J46" t="s">
        <v>205</v>
      </c>
      <c r="K46" t="s">
        <v>161</v>
      </c>
      <c r="L46" t="s">
        <v>162</v>
      </c>
      <c r="M46" t="s">
        <v>98</v>
      </c>
      <c r="N46" t="s">
        <v>438</v>
      </c>
      <c r="O46" t="s">
        <v>437</v>
      </c>
      <c r="P46">
        <v>201700044</v>
      </c>
    </row>
    <row r="47" spans="1:16">
      <c r="A47" t="s">
        <v>83</v>
      </c>
      <c r="B47" t="s">
        <v>38</v>
      </c>
      <c r="C47" t="s">
        <v>36</v>
      </c>
      <c r="D47" t="s">
        <v>98</v>
      </c>
      <c r="E47" t="s">
        <v>99</v>
      </c>
      <c r="F47" t="s">
        <v>100</v>
      </c>
      <c r="G47" t="s">
        <v>146</v>
      </c>
      <c r="J47" t="s">
        <v>206</v>
      </c>
      <c r="K47" t="s">
        <v>161</v>
      </c>
      <c r="L47" t="s">
        <v>162</v>
      </c>
      <c r="M47" t="s">
        <v>98</v>
      </c>
      <c r="N47" t="s">
        <v>438</v>
      </c>
      <c r="O47" t="s">
        <v>437</v>
      </c>
      <c r="P47">
        <v>201700045</v>
      </c>
    </row>
    <row r="48" spans="1:16">
      <c r="A48" t="s">
        <v>84</v>
      </c>
      <c r="B48" t="s">
        <v>38</v>
      </c>
      <c r="C48" t="s">
        <v>36</v>
      </c>
      <c r="D48" t="s">
        <v>98</v>
      </c>
      <c r="E48" t="s">
        <v>99</v>
      </c>
      <c r="F48" t="s">
        <v>100</v>
      </c>
      <c r="G48" t="s">
        <v>147</v>
      </c>
      <c r="J48" t="s">
        <v>207</v>
      </c>
      <c r="K48" t="s">
        <v>161</v>
      </c>
      <c r="L48" t="s">
        <v>162</v>
      </c>
      <c r="M48" t="s">
        <v>98</v>
      </c>
      <c r="N48" t="s">
        <v>438</v>
      </c>
      <c r="O48" t="s">
        <v>437</v>
      </c>
      <c r="P48">
        <v>201700046</v>
      </c>
    </row>
    <row r="49" spans="1:16">
      <c r="A49" t="s">
        <v>85</v>
      </c>
      <c r="B49" t="s">
        <v>38</v>
      </c>
      <c r="C49" t="s">
        <v>36</v>
      </c>
      <c r="D49" t="s">
        <v>98</v>
      </c>
      <c r="E49" t="s">
        <v>99</v>
      </c>
      <c r="F49" t="s">
        <v>100</v>
      </c>
      <c r="G49" t="s">
        <v>148</v>
      </c>
      <c r="J49" t="s">
        <v>208</v>
      </c>
      <c r="K49" t="s">
        <v>161</v>
      </c>
      <c r="L49" t="s">
        <v>162</v>
      </c>
      <c r="M49" t="s">
        <v>98</v>
      </c>
      <c r="N49" t="s">
        <v>438</v>
      </c>
      <c r="O49" t="s">
        <v>437</v>
      </c>
      <c r="P49">
        <v>201700047</v>
      </c>
    </row>
    <row r="50" spans="1:16">
      <c r="A50" t="s">
        <v>86</v>
      </c>
      <c r="B50" t="s">
        <v>38</v>
      </c>
      <c r="C50" t="s">
        <v>36</v>
      </c>
      <c r="D50" t="s">
        <v>98</v>
      </c>
      <c r="E50" t="s">
        <v>99</v>
      </c>
      <c r="F50" t="s">
        <v>100</v>
      </c>
      <c r="G50" t="s">
        <v>149</v>
      </c>
      <c r="J50" t="s">
        <v>209</v>
      </c>
      <c r="K50" t="s">
        <v>161</v>
      </c>
      <c r="L50" t="s">
        <v>162</v>
      </c>
      <c r="M50" t="s">
        <v>98</v>
      </c>
      <c r="N50" t="s">
        <v>438</v>
      </c>
      <c r="O50" t="s">
        <v>437</v>
      </c>
      <c r="P50">
        <v>201700048</v>
      </c>
    </row>
    <row r="51" spans="1:16">
      <c r="A51" t="s">
        <v>87</v>
      </c>
      <c r="B51" t="s">
        <v>38</v>
      </c>
      <c r="C51" t="s">
        <v>36</v>
      </c>
      <c r="D51" t="s">
        <v>98</v>
      </c>
      <c r="E51" t="s">
        <v>99</v>
      </c>
      <c r="F51" t="s">
        <v>100</v>
      </c>
      <c r="G51" t="s">
        <v>150</v>
      </c>
      <c r="J51" t="s">
        <v>210</v>
      </c>
      <c r="K51" t="s">
        <v>161</v>
      </c>
      <c r="L51" t="s">
        <v>162</v>
      </c>
      <c r="M51" t="s">
        <v>98</v>
      </c>
      <c r="N51" t="s">
        <v>438</v>
      </c>
      <c r="O51" t="s">
        <v>437</v>
      </c>
      <c r="P51">
        <v>201700049</v>
      </c>
    </row>
    <row r="52" spans="1:16">
      <c r="A52" t="s">
        <v>88</v>
      </c>
      <c r="B52" t="s">
        <v>38</v>
      </c>
      <c r="C52" t="s">
        <v>36</v>
      </c>
      <c r="D52" t="s">
        <v>98</v>
      </c>
      <c r="E52" t="s">
        <v>99</v>
      </c>
      <c r="F52" t="s">
        <v>100</v>
      </c>
      <c r="G52" t="s">
        <v>151</v>
      </c>
      <c r="J52" t="s">
        <v>211</v>
      </c>
      <c r="K52" t="s">
        <v>212</v>
      </c>
      <c r="L52" t="s">
        <v>162</v>
      </c>
      <c r="M52" t="s">
        <v>98</v>
      </c>
      <c r="N52" t="s">
        <v>438</v>
      </c>
      <c r="O52" t="s">
        <v>437</v>
      </c>
      <c r="P52">
        <v>201700050</v>
      </c>
    </row>
    <row r="53" spans="1:16">
      <c r="A53" t="s">
        <v>70</v>
      </c>
      <c r="B53" t="s">
        <v>38</v>
      </c>
      <c r="C53" t="s">
        <v>36</v>
      </c>
      <c r="D53" t="s">
        <v>98</v>
      </c>
      <c r="E53" t="s">
        <v>99</v>
      </c>
      <c r="F53" t="s">
        <v>100</v>
      </c>
      <c r="G53" t="s">
        <v>152</v>
      </c>
      <c r="J53" t="s">
        <v>213</v>
      </c>
      <c r="K53" t="s">
        <v>212</v>
      </c>
      <c r="L53" t="s">
        <v>162</v>
      </c>
      <c r="M53" t="s">
        <v>98</v>
      </c>
      <c r="N53" t="s">
        <v>438</v>
      </c>
      <c r="O53" t="s">
        <v>437</v>
      </c>
      <c r="P53">
        <v>201700051</v>
      </c>
    </row>
    <row r="54" spans="1:16">
      <c r="A54" t="s">
        <v>82</v>
      </c>
      <c r="B54" t="s">
        <v>38</v>
      </c>
      <c r="C54" t="s">
        <v>36</v>
      </c>
      <c r="D54" t="s">
        <v>98</v>
      </c>
      <c r="E54" t="s">
        <v>99</v>
      </c>
      <c r="F54" t="s">
        <v>100</v>
      </c>
      <c r="G54" t="s">
        <v>159</v>
      </c>
      <c r="J54" t="s">
        <v>48</v>
      </c>
      <c r="K54" t="s">
        <v>212</v>
      </c>
      <c r="L54" t="s">
        <v>162</v>
      </c>
      <c r="M54" t="s">
        <v>98</v>
      </c>
      <c r="N54" t="s">
        <v>438</v>
      </c>
      <c r="O54" t="s">
        <v>437</v>
      </c>
      <c r="P54">
        <v>201700052</v>
      </c>
    </row>
    <row r="55" spans="1:16">
      <c r="J55" t="s">
        <v>214</v>
      </c>
      <c r="K55" t="s">
        <v>212</v>
      </c>
      <c r="L55" t="s">
        <v>162</v>
      </c>
      <c r="M55" t="s">
        <v>98</v>
      </c>
      <c r="N55" t="s">
        <v>438</v>
      </c>
      <c r="O55" t="s">
        <v>437</v>
      </c>
      <c r="P55">
        <v>201700053</v>
      </c>
    </row>
    <row r="56" spans="1:16">
      <c r="J56" t="s">
        <v>67</v>
      </c>
      <c r="K56" t="s">
        <v>212</v>
      </c>
      <c r="L56" t="s">
        <v>162</v>
      </c>
      <c r="M56" t="s">
        <v>98</v>
      </c>
      <c r="N56" t="s">
        <v>438</v>
      </c>
      <c r="O56" t="s">
        <v>437</v>
      </c>
      <c r="P56">
        <v>201700054</v>
      </c>
    </row>
    <row r="57" spans="1:16">
      <c r="J57" t="s">
        <v>215</v>
      </c>
      <c r="K57" t="s">
        <v>212</v>
      </c>
      <c r="L57" t="s">
        <v>162</v>
      </c>
      <c r="M57" t="s">
        <v>98</v>
      </c>
      <c r="N57" t="s">
        <v>438</v>
      </c>
      <c r="O57" t="s">
        <v>437</v>
      </c>
      <c r="P57">
        <v>201700055</v>
      </c>
    </row>
    <row r="58" spans="1:16">
      <c r="J58" t="s">
        <v>216</v>
      </c>
      <c r="K58" t="s">
        <v>212</v>
      </c>
      <c r="L58" t="s">
        <v>162</v>
      </c>
      <c r="M58" t="s">
        <v>98</v>
      </c>
      <c r="N58" t="s">
        <v>438</v>
      </c>
      <c r="O58" t="s">
        <v>437</v>
      </c>
      <c r="P58">
        <v>201700056</v>
      </c>
    </row>
    <row r="59" spans="1:16">
      <c r="J59" t="s">
        <v>217</v>
      </c>
      <c r="K59" t="s">
        <v>212</v>
      </c>
      <c r="L59" t="s">
        <v>162</v>
      </c>
      <c r="M59" t="s">
        <v>98</v>
      </c>
      <c r="N59" t="s">
        <v>438</v>
      </c>
      <c r="O59" t="s">
        <v>437</v>
      </c>
      <c r="P59">
        <v>201700057</v>
      </c>
    </row>
    <row r="60" spans="1:16">
      <c r="J60" t="s">
        <v>218</v>
      </c>
      <c r="K60" t="s">
        <v>212</v>
      </c>
      <c r="L60" t="s">
        <v>162</v>
      </c>
      <c r="M60" t="s">
        <v>98</v>
      </c>
      <c r="N60" t="s">
        <v>438</v>
      </c>
      <c r="O60" t="s">
        <v>437</v>
      </c>
      <c r="P60">
        <v>201700058</v>
      </c>
    </row>
    <row r="61" spans="1:16">
      <c r="J61" t="s">
        <v>219</v>
      </c>
      <c r="K61" t="s">
        <v>212</v>
      </c>
      <c r="L61" t="s">
        <v>162</v>
      </c>
      <c r="M61" t="s">
        <v>98</v>
      </c>
      <c r="N61" t="s">
        <v>438</v>
      </c>
      <c r="O61" t="s">
        <v>437</v>
      </c>
      <c r="P61">
        <v>201700059</v>
      </c>
    </row>
    <row r="62" spans="1:16">
      <c r="J62" t="s">
        <v>220</v>
      </c>
      <c r="K62" t="s">
        <v>212</v>
      </c>
      <c r="L62" t="s">
        <v>162</v>
      </c>
      <c r="M62" t="s">
        <v>98</v>
      </c>
      <c r="N62" t="s">
        <v>438</v>
      </c>
      <c r="O62" t="s">
        <v>437</v>
      </c>
      <c r="P62">
        <v>201700060</v>
      </c>
    </row>
    <row r="63" spans="1:16">
      <c r="J63" t="s">
        <v>221</v>
      </c>
      <c r="K63" t="s">
        <v>212</v>
      </c>
      <c r="L63" t="s">
        <v>162</v>
      </c>
      <c r="M63" t="s">
        <v>98</v>
      </c>
      <c r="N63" t="s">
        <v>438</v>
      </c>
      <c r="O63" t="s">
        <v>437</v>
      </c>
      <c r="P63">
        <v>201700061</v>
      </c>
    </row>
    <row r="64" spans="1:16">
      <c r="J64" t="s">
        <v>222</v>
      </c>
      <c r="K64" t="s">
        <v>212</v>
      </c>
      <c r="L64" t="s">
        <v>162</v>
      </c>
      <c r="M64" t="s">
        <v>98</v>
      </c>
      <c r="N64" t="s">
        <v>438</v>
      </c>
      <c r="O64" t="s">
        <v>437</v>
      </c>
      <c r="P64">
        <v>201700062</v>
      </c>
    </row>
    <row r="65" spans="10:16">
      <c r="J65" t="s">
        <v>223</v>
      </c>
      <c r="K65" t="s">
        <v>212</v>
      </c>
      <c r="L65" t="s">
        <v>162</v>
      </c>
      <c r="M65" t="s">
        <v>98</v>
      </c>
      <c r="N65" t="s">
        <v>438</v>
      </c>
      <c r="O65" t="s">
        <v>437</v>
      </c>
      <c r="P65">
        <v>201700063</v>
      </c>
    </row>
    <row r="66" spans="10:16">
      <c r="J66" t="s">
        <v>224</v>
      </c>
      <c r="K66" t="s">
        <v>212</v>
      </c>
      <c r="L66" t="s">
        <v>162</v>
      </c>
      <c r="M66" t="s">
        <v>98</v>
      </c>
      <c r="N66" t="s">
        <v>438</v>
      </c>
      <c r="O66" t="s">
        <v>437</v>
      </c>
      <c r="P66">
        <v>201700064</v>
      </c>
    </row>
    <row r="67" spans="10:16">
      <c r="J67" t="s">
        <v>225</v>
      </c>
      <c r="K67" t="s">
        <v>212</v>
      </c>
      <c r="L67" t="s">
        <v>162</v>
      </c>
      <c r="M67" t="s">
        <v>98</v>
      </c>
      <c r="N67" t="s">
        <v>438</v>
      </c>
      <c r="O67" t="s">
        <v>437</v>
      </c>
      <c r="P67">
        <v>201700065</v>
      </c>
    </row>
    <row r="68" spans="10:16">
      <c r="J68" t="s">
        <v>226</v>
      </c>
      <c r="K68" t="s">
        <v>212</v>
      </c>
      <c r="L68" t="s">
        <v>162</v>
      </c>
      <c r="M68" t="s">
        <v>98</v>
      </c>
      <c r="N68" t="s">
        <v>438</v>
      </c>
      <c r="O68" t="s">
        <v>437</v>
      </c>
      <c r="P68">
        <v>201700066</v>
      </c>
    </row>
    <row r="69" spans="10:16">
      <c r="J69" t="s">
        <v>227</v>
      </c>
      <c r="K69" t="s">
        <v>212</v>
      </c>
      <c r="L69" t="s">
        <v>162</v>
      </c>
      <c r="M69" t="s">
        <v>98</v>
      </c>
      <c r="N69" t="s">
        <v>438</v>
      </c>
      <c r="O69" t="s">
        <v>437</v>
      </c>
      <c r="P69">
        <v>201700067</v>
      </c>
    </row>
    <row r="70" spans="10:16">
      <c r="J70" t="s">
        <v>228</v>
      </c>
      <c r="K70" t="s">
        <v>212</v>
      </c>
      <c r="L70" t="s">
        <v>162</v>
      </c>
      <c r="M70" t="s">
        <v>98</v>
      </c>
      <c r="N70" t="s">
        <v>438</v>
      </c>
      <c r="O70" t="s">
        <v>437</v>
      </c>
      <c r="P70">
        <v>201700068</v>
      </c>
    </row>
    <row r="71" spans="10:16">
      <c r="J71" t="s">
        <v>229</v>
      </c>
      <c r="K71" t="s">
        <v>212</v>
      </c>
      <c r="L71" t="s">
        <v>162</v>
      </c>
      <c r="M71" t="s">
        <v>98</v>
      </c>
      <c r="N71" t="s">
        <v>438</v>
      </c>
      <c r="O71" t="s">
        <v>437</v>
      </c>
      <c r="P71">
        <v>201700069</v>
      </c>
    </row>
    <row r="72" spans="10:16">
      <c r="J72" t="s">
        <v>230</v>
      </c>
      <c r="K72" t="s">
        <v>212</v>
      </c>
      <c r="L72" t="s">
        <v>162</v>
      </c>
      <c r="M72" t="s">
        <v>98</v>
      </c>
      <c r="N72" t="s">
        <v>438</v>
      </c>
      <c r="O72" t="s">
        <v>437</v>
      </c>
      <c r="P72">
        <v>201700070</v>
      </c>
    </row>
    <row r="73" spans="10:16">
      <c r="J73" t="s">
        <v>231</v>
      </c>
      <c r="K73" t="s">
        <v>212</v>
      </c>
      <c r="L73" t="s">
        <v>162</v>
      </c>
      <c r="M73" t="s">
        <v>98</v>
      </c>
      <c r="N73" t="s">
        <v>438</v>
      </c>
      <c r="O73" t="s">
        <v>437</v>
      </c>
      <c r="P73">
        <v>201700071</v>
      </c>
    </row>
    <row r="74" spans="10:16">
      <c r="J74" t="s">
        <v>232</v>
      </c>
      <c r="K74" t="s">
        <v>212</v>
      </c>
      <c r="L74" t="s">
        <v>162</v>
      </c>
      <c r="M74" t="s">
        <v>98</v>
      </c>
      <c r="N74" t="s">
        <v>438</v>
      </c>
      <c r="O74" t="s">
        <v>437</v>
      </c>
      <c r="P74">
        <v>201700072</v>
      </c>
    </row>
    <row r="75" spans="10:16">
      <c r="J75" t="s">
        <v>233</v>
      </c>
      <c r="K75" t="s">
        <v>212</v>
      </c>
      <c r="L75" t="s">
        <v>162</v>
      </c>
      <c r="M75" t="s">
        <v>98</v>
      </c>
      <c r="N75" t="s">
        <v>438</v>
      </c>
      <c r="O75" t="s">
        <v>437</v>
      </c>
      <c r="P75">
        <v>201700073</v>
      </c>
    </row>
    <row r="76" spans="10:16">
      <c r="J76" t="s">
        <v>234</v>
      </c>
      <c r="K76" t="s">
        <v>212</v>
      </c>
      <c r="L76" t="s">
        <v>162</v>
      </c>
      <c r="M76" t="s">
        <v>98</v>
      </c>
      <c r="N76" t="s">
        <v>438</v>
      </c>
      <c r="O76" t="s">
        <v>437</v>
      </c>
      <c r="P76">
        <v>201700074</v>
      </c>
    </row>
    <row r="77" spans="10:16">
      <c r="J77" t="s">
        <v>235</v>
      </c>
      <c r="K77" t="s">
        <v>212</v>
      </c>
      <c r="L77" t="s">
        <v>162</v>
      </c>
      <c r="M77" t="s">
        <v>98</v>
      </c>
      <c r="N77" t="s">
        <v>438</v>
      </c>
      <c r="O77" t="s">
        <v>437</v>
      </c>
      <c r="P77">
        <v>201700075</v>
      </c>
    </row>
    <row r="78" spans="10:16">
      <c r="J78" t="s">
        <v>236</v>
      </c>
      <c r="K78" t="s">
        <v>212</v>
      </c>
      <c r="L78" t="s">
        <v>162</v>
      </c>
      <c r="M78" t="s">
        <v>98</v>
      </c>
      <c r="N78" t="s">
        <v>438</v>
      </c>
      <c r="O78" t="s">
        <v>437</v>
      </c>
      <c r="P78">
        <v>201700076</v>
      </c>
    </row>
    <row r="79" spans="10:16">
      <c r="J79" t="s">
        <v>237</v>
      </c>
      <c r="K79" t="s">
        <v>212</v>
      </c>
      <c r="L79" t="s">
        <v>162</v>
      </c>
      <c r="M79" t="s">
        <v>98</v>
      </c>
      <c r="N79" t="s">
        <v>438</v>
      </c>
      <c r="O79" t="s">
        <v>437</v>
      </c>
      <c r="P79">
        <v>201700077</v>
      </c>
    </row>
    <row r="80" spans="10:16">
      <c r="J80" t="s">
        <v>238</v>
      </c>
      <c r="K80" t="s">
        <v>212</v>
      </c>
      <c r="L80" t="s">
        <v>162</v>
      </c>
      <c r="M80" t="s">
        <v>98</v>
      </c>
      <c r="N80" t="s">
        <v>438</v>
      </c>
      <c r="O80" t="s">
        <v>437</v>
      </c>
      <c r="P80">
        <v>201700078</v>
      </c>
    </row>
    <row r="81" spans="10:16">
      <c r="J81" t="s">
        <v>239</v>
      </c>
      <c r="K81" t="s">
        <v>212</v>
      </c>
      <c r="L81" t="s">
        <v>162</v>
      </c>
      <c r="M81" t="s">
        <v>98</v>
      </c>
      <c r="N81" t="s">
        <v>438</v>
      </c>
      <c r="O81" t="s">
        <v>437</v>
      </c>
      <c r="P81">
        <v>201700079</v>
      </c>
    </row>
    <row r="82" spans="10:16">
      <c r="J82" t="s">
        <v>240</v>
      </c>
      <c r="K82" t="s">
        <v>212</v>
      </c>
      <c r="L82" t="s">
        <v>162</v>
      </c>
      <c r="M82" t="s">
        <v>98</v>
      </c>
      <c r="N82" t="s">
        <v>438</v>
      </c>
      <c r="O82" t="s">
        <v>437</v>
      </c>
      <c r="P82">
        <v>201700080</v>
      </c>
    </row>
    <row r="83" spans="10:16">
      <c r="J83" t="s">
        <v>241</v>
      </c>
      <c r="K83" t="s">
        <v>212</v>
      </c>
      <c r="L83" t="s">
        <v>162</v>
      </c>
      <c r="M83" t="s">
        <v>98</v>
      </c>
      <c r="N83" t="s">
        <v>438</v>
      </c>
      <c r="O83" t="s">
        <v>437</v>
      </c>
      <c r="P83">
        <v>201700081</v>
      </c>
    </row>
    <row r="84" spans="10:16">
      <c r="J84" t="s">
        <v>242</v>
      </c>
      <c r="K84" t="s">
        <v>212</v>
      </c>
      <c r="L84" t="s">
        <v>162</v>
      </c>
      <c r="M84" t="s">
        <v>98</v>
      </c>
      <c r="N84" t="s">
        <v>438</v>
      </c>
      <c r="O84" t="s">
        <v>437</v>
      </c>
      <c r="P84">
        <v>201700082</v>
      </c>
    </row>
    <row r="85" spans="10:16">
      <c r="J85" t="s">
        <v>243</v>
      </c>
      <c r="K85" t="s">
        <v>212</v>
      </c>
      <c r="L85" t="s">
        <v>162</v>
      </c>
      <c r="M85" t="s">
        <v>98</v>
      </c>
      <c r="N85" t="s">
        <v>438</v>
      </c>
      <c r="O85" t="s">
        <v>437</v>
      </c>
      <c r="P85">
        <v>201700083</v>
      </c>
    </row>
    <row r="86" spans="10:16">
      <c r="J86" t="s">
        <v>244</v>
      </c>
      <c r="K86" t="s">
        <v>212</v>
      </c>
      <c r="L86" t="s">
        <v>162</v>
      </c>
      <c r="M86" t="s">
        <v>98</v>
      </c>
      <c r="N86" t="s">
        <v>438</v>
      </c>
      <c r="O86" t="s">
        <v>437</v>
      </c>
      <c r="P86">
        <v>201700084</v>
      </c>
    </row>
    <row r="87" spans="10:16">
      <c r="J87" t="s">
        <v>245</v>
      </c>
      <c r="K87" t="s">
        <v>212</v>
      </c>
      <c r="L87" t="s">
        <v>162</v>
      </c>
      <c r="M87" t="s">
        <v>98</v>
      </c>
      <c r="N87" t="s">
        <v>438</v>
      </c>
      <c r="O87" t="s">
        <v>437</v>
      </c>
      <c r="P87">
        <v>201700085</v>
      </c>
    </row>
    <row r="88" spans="10:16">
      <c r="J88" t="s">
        <v>246</v>
      </c>
      <c r="K88" t="s">
        <v>212</v>
      </c>
      <c r="L88" t="s">
        <v>162</v>
      </c>
      <c r="M88" t="s">
        <v>98</v>
      </c>
      <c r="N88" t="s">
        <v>438</v>
      </c>
      <c r="O88" t="s">
        <v>437</v>
      </c>
      <c r="P88">
        <v>201700086</v>
      </c>
    </row>
    <row r="89" spans="10:16">
      <c r="J89" t="s">
        <v>247</v>
      </c>
      <c r="K89" t="s">
        <v>212</v>
      </c>
      <c r="L89" t="s">
        <v>162</v>
      </c>
      <c r="M89" t="s">
        <v>98</v>
      </c>
      <c r="N89" t="s">
        <v>438</v>
      </c>
      <c r="O89" t="s">
        <v>437</v>
      </c>
      <c r="P89">
        <v>201700087</v>
      </c>
    </row>
    <row r="90" spans="10:16">
      <c r="J90" t="s">
        <v>248</v>
      </c>
      <c r="K90" t="s">
        <v>212</v>
      </c>
      <c r="L90" t="s">
        <v>162</v>
      </c>
      <c r="M90" t="s">
        <v>98</v>
      </c>
      <c r="N90" t="s">
        <v>438</v>
      </c>
      <c r="O90" t="s">
        <v>437</v>
      </c>
      <c r="P90">
        <v>201700088</v>
      </c>
    </row>
    <row r="91" spans="10:16">
      <c r="J91" t="s">
        <v>249</v>
      </c>
      <c r="K91" t="s">
        <v>212</v>
      </c>
      <c r="L91" t="s">
        <v>162</v>
      </c>
      <c r="M91" t="s">
        <v>98</v>
      </c>
      <c r="N91" t="s">
        <v>438</v>
      </c>
      <c r="O91" t="s">
        <v>437</v>
      </c>
      <c r="P91">
        <v>201700089</v>
      </c>
    </row>
    <row r="92" spans="10:16">
      <c r="J92" t="s">
        <v>250</v>
      </c>
      <c r="K92" t="s">
        <v>212</v>
      </c>
      <c r="L92" t="s">
        <v>162</v>
      </c>
      <c r="M92" t="s">
        <v>98</v>
      </c>
      <c r="N92" t="s">
        <v>438</v>
      </c>
      <c r="O92" t="s">
        <v>437</v>
      </c>
      <c r="P92">
        <v>201700090</v>
      </c>
    </row>
    <row r="93" spans="10:16">
      <c r="J93" t="s">
        <v>251</v>
      </c>
      <c r="K93" t="s">
        <v>212</v>
      </c>
      <c r="L93" t="s">
        <v>162</v>
      </c>
      <c r="M93" t="s">
        <v>98</v>
      </c>
      <c r="N93" t="s">
        <v>438</v>
      </c>
      <c r="O93" t="s">
        <v>437</v>
      </c>
      <c r="P93">
        <v>201700091</v>
      </c>
    </row>
    <row r="94" spans="10:16">
      <c r="J94" t="s">
        <v>52</v>
      </c>
      <c r="K94" t="s">
        <v>212</v>
      </c>
      <c r="L94" t="s">
        <v>162</v>
      </c>
      <c r="M94" t="s">
        <v>98</v>
      </c>
      <c r="N94" t="s">
        <v>438</v>
      </c>
      <c r="O94" t="s">
        <v>437</v>
      </c>
      <c r="P94">
        <v>201700092</v>
      </c>
    </row>
    <row r="95" spans="10:16">
      <c r="J95" t="s">
        <v>252</v>
      </c>
      <c r="K95" t="s">
        <v>212</v>
      </c>
      <c r="L95" t="s">
        <v>162</v>
      </c>
      <c r="M95" t="s">
        <v>98</v>
      </c>
      <c r="N95" t="s">
        <v>438</v>
      </c>
      <c r="O95" t="s">
        <v>437</v>
      </c>
      <c r="P95">
        <v>201700093</v>
      </c>
    </row>
    <row r="96" spans="10:16">
      <c r="J96" t="s">
        <v>253</v>
      </c>
      <c r="K96" t="s">
        <v>212</v>
      </c>
      <c r="L96" t="s">
        <v>162</v>
      </c>
      <c r="M96" t="s">
        <v>98</v>
      </c>
      <c r="N96" t="s">
        <v>438</v>
      </c>
      <c r="O96" t="s">
        <v>437</v>
      </c>
      <c r="P96">
        <v>201700094</v>
      </c>
    </row>
    <row r="97" spans="10:16">
      <c r="J97" t="s">
        <v>254</v>
      </c>
      <c r="K97" t="s">
        <v>212</v>
      </c>
      <c r="L97" t="s">
        <v>162</v>
      </c>
      <c r="M97" t="s">
        <v>98</v>
      </c>
      <c r="N97" t="s">
        <v>438</v>
      </c>
      <c r="O97" t="s">
        <v>437</v>
      </c>
      <c r="P97">
        <v>201700095</v>
      </c>
    </row>
    <row r="98" spans="10:16">
      <c r="J98" t="s">
        <v>71</v>
      </c>
      <c r="K98" t="s">
        <v>212</v>
      </c>
      <c r="L98" t="s">
        <v>162</v>
      </c>
      <c r="M98" t="s">
        <v>98</v>
      </c>
      <c r="N98" t="s">
        <v>438</v>
      </c>
      <c r="O98" t="s">
        <v>437</v>
      </c>
      <c r="P98">
        <v>201700096</v>
      </c>
    </row>
    <row r="99" spans="10:16">
      <c r="J99" t="s">
        <v>255</v>
      </c>
      <c r="K99" t="s">
        <v>212</v>
      </c>
      <c r="L99" t="s">
        <v>162</v>
      </c>
      <c r="M99" t="s">
        <v>98</v>
      </c>
      <c r="N99" t="s">
        <v>438</v>
      </c>
      <c r="O99" t="s">
        <v>437</v>
      </c>
      <c r="P99">
        <v>201700097</v>
      </c>
    </row>
    <row r="100" spans="10:16">
      <c r="J100" t="s">
        <v>256</v>
      </c>
      <c r="K100" t="s">
        <v>212</v>
      </c>
      <c r="L100" t="s">
        <v>162</v>
      </c>
      <c r="M100" t="s">
        <v>98</v>
      </c>
      <c r="N100" t="s">
        <v>438</v>
      </c>
      <c r="O100" t="s">
        <v>437</v>
      </c>
      <c r="P100">
        <v>201700098</v>
      </c>
    </row>
    <row r="101" spans="10:16">
      <c r="J101" t="s">
        <v>83</v>
      </c>
      <c r="K101" t="s">
        <v>45</v>
      </c>
      <c r="L101" t="s">
        <v>162</v>
      </c>
      <c r="M101" t="s">
        <v>98</v>
      </c>
      <c r="N101" t="s">
        <v>438</v>
      </c>
      <c r="O101" t="s">
        <v>437</v>
      </c>
      <c r="P101">
        <v>201700099</v>
      </c>
    </row>
    <row r="102" spans="10:16">
      <c r="J102" t="s">
        <v>257</v>
      </c>
      <c r="K102" t="s">
        <v>45</v>
      </c>
      <c r="L102" t="s">
        <v>162</v>
      </c>
      <c r="M102" t="s">
        <v>98</v>
      </c>
      <c r="N102" t="s">
        <v>438</v>
      </c>
      <c r="O102" t="s">
        <v>437</v>
      </c>
      <c r="P102">
        <v>201700100</v>
      </c>
    </row>
    <row r="103" spans="10:16">
      <c r="J103" t="s">
        <v>258</v>
      </c>
      <c r="K103" t="s">
        <v>45</v>
      </c>
      <c r="L103" t="s">
        <v>162</v>
      </c>
      <c r="M103" t="s">
        <v>98</v>
      </c>
      <c r="N103" t="s">
        <v>438</v>
      </c>
      <c r="O103" t="s">
        <v>437</v>
      </c>
      <c r="P103">
        <v>201700101</v>
      </c>
    </row>
    <row r="104" spans="10:16">
      <c r="J104" t="s">
        <v>259</v>
      </c>
      <c r="K104" t="s">
        <v>45</v>
      </c>
      <c r="L104" t="s">
        <v>162</v>
      </c>
      <c r="M104" t="s">
        <v>98</v>
      </c>
      <c r="N104" t="s">
        <v>438</v>
      </c>
      <c r="O104" t="s">
        <v>437</v>
      </c>
      <c r="P104">
        <v>201700102</v>
      </c>
    </row>
    <row r="105" spans="10:16">
      <c r="J105" t="s">
        <v>260</v>
      </c>
      <c r="K105" t="s">
        <v>45</v>
      </c>
      <c r="L105" t="s">
        <v>162</v>
      </c>
      <c r="M105" t="s">
        <v>98</v>
      </c>
      <c r="N105" t="s">
        <v>438</v>
      </c>
      <c r="O105" t="s">
        <v>437</v>
      </c>
      <c r="P105">
        <v>201700103</v>
      </c>
    </row>
    <row r="106" spans="10:16">
      <c r="J106" t="s">
        <v>261</v>
      </c>
      <c r="K106" t="s">
        <v>45</v>
      </c>
      <c r="L106" t="s">
        <v>162</v>
      </c>
      <c r="M106" t="s">
        <v>98</v>
      </c>
      <c r="N106" t="s">
        <v>438</v>
      </c>
      <c r="O106" t="s">
        <v>437</v>
      </c>
      <c r="P106">
        <v>201700104</v>
      </c>
    </row>
    <row r="107" spans="10:16">
      <c r="J107" t="s">
        <v>262</v>
      </c>
      <c r="K107" t="s">
        <v>45</v>
      </c>
      <c r="L107" t="s">
        <v>162</v>
      </c>
      <c r="M107" t="s">
        <v>98</v>
      </c>
      <c r="N107" t="s">
        <v>438</v>
      </c>
      <c r="O107" t="s">
        <v>437</v>
      </c>
      <c r="P107">
        <v>201700105</v>
      </c>
    </row>
    <row r="108" spans="10:16">
      <c r="J108" t="s">
        <v>263</v>
      </c>
      <c r="K108" t="s">
        <v>45</v>
      </c>
      <c r="L108" t="s">
        <v>162</v>
      </c>
      <c r="M108" t="s">
        <v>98</v>
      </c>
      <c r="N108" t="s">
        <v>438</v>
      </c>
      <c r="O108" t="s">
        <v>437</v>
      </c>
      <c r="P108">
        <v>201700106</v>
      </c>
    </row>
    <row r="109" spans="10:16">
      <c r="J109" t="s">
        <v>264</v>
      </c>
      <c r="K109" t="s">
        <v>45</v>
      </c>
      <c r="L109" t="s">
        <v>162</v>
      </c>
      <c r="M109" t="s">
        <v>98</v>
      </c>
      <c r="N109" t="s">
        <v>438</v>
      </c>
      <c r="O109" t="s">
        <v>437</v>
      </c>
      <c r="P109">
        <v>201700107</v>
      </c>
    </row>
    <row r="110" spans="10:16">
      <c r="J110" t="s">
        <v>265</v>
      </c>
      <c r="K110" t="s">
        <v>45</v>
      </c>
      <c r="L110" t="s">
        <v>162</v>
      </c>
      <c r="M110" t="s">
        <v>98</v>
      </c>
      <c r="N110" t="s">
        <v>438</v>
      </c>
      <c r="O110" t="s">
        <v>437</v>
      </c>
      <c r="P110">
        <v>201700108</v>
      </c>
    </row>
    <row r="111" spans="10:16">
      <c r="J111" t="s">
        <v>266</v>
      </c>
      <c r="K111" t="s">
        <v>45</v>
      </c>
      <c r="L111" t="s">
        <v>162</v>
      </c>
      <c r="M111" t="s">
        <v>98</v>
      </c>
      <c r="N111" t="s">
        <v>438</v>
      </c>
      <c r="O111" t="s">
        <v>437</v>
      </c>
      <c r="P111">
        <v>201700109</v>
      </c>
    </row>
    <row r="112" spans="10:16">
      <c r="J112" t="s">
        <v>267</v>
      </c>
      <c r="K112" t="s">
        <v>45</v>
      </c>
      <c r="L112" t="s">
        <v>162</v>
      </c>
      <c r="M112" t="s">
        <v>98</v>
      </c>
      <c r="N112" t="s">
        <v>438</v>
      </c>
      <c r="O112" t="s">
        <v>437</v>
      </c>
      <c r="P112">
        <v>201700110</v>
      </c>
    </row>
    <row r="113" spans="10:16">
      <c r="J113" t="s">
        <v>268</v>
      </c>
      <c r="K113" t="s">
        <v>45</v>
      </c>
      <c r="L113" t="s">
        <v>162</v>
      </c>
      <c r="M113" t="s">
        <v>98</v>
      </c>
      <c r="N113" t="s">
        <v>438</v>
      </c>
      <c r="O113" t="s">
        <v>437</v>
      </c>
      <c r="P113">
        <v>201700111</v>
      </c>
    </row>
    <row r="114" spans="10:16">
      <c r="J114" t="s">
        <v>269</v>
      </c>
      <c r="K114" t="s">
        <v>45</v>
      </c>
      <c r="L114" t="s">
        <v>162</v>
      </c>
      <c r="M114" t="s">
        <v>98</v>
      </c>
      <c r="N114" t="s">
        <v>438</v>
      </c>
      <c r="O114" t="s">
        <v>437</v>
      </c>
      <c r="P114">
        <v>201700112</v>
      </c>
    </row>
    <row r="115" spans="10:16">
      <c r="J115" t="s">
        <v>54</v>
      </c>
      <c r="K115" t="s">
        <v>45</v>
      </c>
      <c r="L115" t="s">
        <v>162</v>
      </c>
      <c r="M115" t="s">
        <v>98</v>
      </c>
      <c r="N115" t="s">
        <v>438</v>
      </c>
      <c r="O115" t="s">
        <v>437</v>
      </c>
      <c r="P115">
        <v>201700113</v>
      </c>
    </row>
    <row r="116" spans="10:16">
      <c r="J116" t="s">
        <v>270</v>
      </c>
      <c r="K116" t="s">
        <v>45</v>
      </c>
      <c r="L116" t="s">
        <v>162</v>
      </c>
      <c r="M116" t="s">
        <v>98</v>
      </c>
      <c r="N116" t="s">
        <v>438</v>
      </c>
      <c r="O116" t="s">
        <v>437</v>
      </c>
      <c r="P116">
        <v>201700114</v>
      </c>
    </row>
    <row r="117" spans="10:16">
      <c r="J117" t="s">
        <v>271</v>
      </c>
      <c r="K117" t="s">
        <v>45</v>
      </c>
      <c r="L117" t="s">
        <v>162</v>
      </c>
      <c r="M117" t="s">
        <v>98</v>
      </c>
      <c r="N117" t="s">
        <v>438</v>
      </c>
      <c r="O117" t="s">
        <v>437</v>
      </c>
      <c r="P117">
        <v>201700115</v>
      </c>
    </row>
    <row r="118" spans="10:16">
      <c r="J118" t="s">
        <v>272</v>
      </c>
      <c r="K118" t="s">
        <v>45</v>
      </c>
      <c r="L118" t="s">
        <v>162</v>
      </c>
      <c r="M118" t="s">
        <v>98</v>
      </c>
      <c r="N118" t="s">
        <v>438</v>
      </c>
      <c r="O118" t="s">
        <v>437</v>
      </c>
      <c r="P118">
        <v>201700116</v>
      </c>
    </row>
    <row r="119" spans="10:16">
      <c r="J119" t="s">
        <v>273</v>
      </c>
      <c r="K119" t="s">
        <v>45</v>
      </c>
      <c r="L119" t="s">
        <v>162</v>
      </c>
      <c r="M119" t="s">
        <v>98</v>
      </c>
      <c r="N119" t="s">
        <v>438</v>
      </c>
      <c r="O119" t="s">
        <v>437</v>
      </c>
      <c r="P119">
        <v>201700117</v>
      </c>
    </row>
    <row r="120" spans="10:16">
      <c r="J120" t="s">
        <v>60</v>
      </c>
      <c r="K120" t="s">
        <v>45</v>
      </c>
      <c r="L120" t="s">
        <v>162</v>
      </c>
      <c r="M120" t="s">
        <v>98</v>
      </c>
      <c r="N120" t="s">
        <v>438</v>
      </c>
      <c r="O120" t="s">
        <v>437</v>
      </c>
      <c r="P120">
        <v>201700118</v>
      </c>
    </row>
    <row r="121" spans="10:16">
      <c r="J121" t="s">
        <v>53</v>
      </c>
      <c r="K121" t="s">
        <v>45</v>
      </c>
      <c r="L121" t="s">
        <v>162</v>
      </c>
      <c r="M121" t="s">
        <v>98</v>
      </c>
      <c r="N121" t="s">
        <v>438</v>
      </c>
      <c r="O121" t="s">
        <v>437</v>
      </c>
      <c r="P121">
        <v>201700119</v>
      </c>
    </row>
    <row r="122" spans="10:16">
      <c r="J122" t="s">
        <v>274</v>
      </c>
      <c r="K122" t="s">
        <v>45</v>
      </c>
      <c r="L122" t="s">
        <v>162</v>
      </c>
      <c r="M122" t="s">
        <v>98</v>
      </c>
      <c r="N122" t="s">
        <v>438</v>
      </c>
      <c r="O122" t="s">
        <v>437</v>
      </c>
      <c r="P122">
        <v>201700120</v>
      </c>
    </row>
    <row r="123" spans="10:16">
      <c r="J123" t="s">
        <v>275</v>
      </c>
      <c r="K123" t="s">
        <v>45</v>
      </c>
      <c r="L123" t="s">
        <v>162</v>
      </c>
      <c r="M123" t="s">
        <v>98</v>
      </c>
      <c r="N123" t="s">
        <v>438</v>
      </c>
      <c r="O123" t="s">
        <v>437</v>
      </c>
      <c r="P123">
        <v>201700121</v>
      </c>
    </row>
    <row r="124" spans="10:16">
      <c r="J124" t="s">
        <v>276</v>
      </c>
      <c r="K124" t="s">
        <v>45</v>
      </c>
      <c r="L124" t="s">
        <v>162</v>
      </c>
      <c r="M124" t="s">
        <v>98</v>
      </c>
      <c r="N124" t="s">
        <v>438</v>
      </c>
      <c r="O124" t="s">
        <v>437</v>
      </c>
      <c r="P124">
        <v>201700122</v>
      </c>
    </row>
    <row r="125" spans="10:16">
      <c r="J125" t="s">
        <v>41</v>
      </c>
      <c r="K125" t="s">
        <v>45</v>
      </c>
      <c r="L125" t="s">
        <v>162</v>
      </c>
      <c r="M125" t="s">
        <v>98</v>
      </c>
      <c r="N125" t="s">
        <v>438</v>
      </c>
      <c r="O125" t="s">
        <v>437</v>
      </c>
      <c r="P125">
        <v>201700123</v>
      </c>
    </row>
    <row r="126" spans="10:16">
      <c r="J126" t="s">
        <v>277</v>
      </c>
      <c r="K126" t="s">
        <v>45</v>
      </c>
      <c r="L126" t="s">
        <v>162</v>
      </c>
      <c r="M126" t="s">
        <v>98</v>
      </c>
      <c r="N126" t="s">
        <v>438</v>
      </c>
      <c r="O126" t="s">
        <v>437</v>
      </c>
      <c r="P126">
        <v>201700124</v>
      </c>
    </row>
    <row r="127" spans="10:16">
      <c r="J127" t="s">
        <v>278</v>
      </c>
      <c r="K127" t="s">
        <v>45</v>
      </c>
      <c r="L127" t="s">
        <v>162</v>
      </c>
      <c r="M127" t="s">
        <v>98</v>
      </c>
      <c r="N127" t="s">
        <v>438</v>
      </c>
      <c r="O127" t="s">
        <v>437</v>
      </c>
      <c r="P127">
        <v>201700125</v>
      </c>
    </row>
    <row r="128" spans="10:16">
      <c r="J128" t="s">
        <v>279</v>
      </c>
      <c r="K128" t="s">
        <v>45</v>
      </c>
      <c r="L128" t="s">
        <v>162</v>
      </c>
      <c r="M128" t="s">
        <v>98</v>
      </c>
      <c r="N128" t="s">
        <v>438</v>
      </c>
      <c r="O128" t="s">
        <v>437</v>
      </c>
      <c r="P128">
        <v>201700126</v>
      </c>
    </row>
    <row r="129" spans="10:16">
      <c r="J129" t="s">
        <v>280</v>
      </c>
      <c r="K129" t="s">
        <v>45</v>
      </c>
      <c r="L129" t="s">
        <v>162</v>
      </c>
      <c r="M129" t="s">
        <v>98</v>
      </c>
      <c r="N129" t="s">
        <v>438</v>
      </c>
      <c r="O129" t="s">
        <v>437</v>
      </c>
      <c r="P129">
        <v>201700127</v>
      </c>
    </row>
    <row r="130" spans="10:16">
      <c r="J130" t="s">
        <v>281</v>
      </c>
      <c r="K130" t="s">
        <v>45</v>
      </c>
      <c r="L130" t="s">
        <v>162</v>
      </c>
      <c r="M130" t="s">
        <v>98</v>
      </c>
      <c r="N130" t="s">
        <v>438</v>
      </c>
      <c r="O130" t="s">
        <v>437</v>
      </c>
      <c r="P130">
        <v>201700128</v>
      </c>
    </row>
    <row r="131" spans="10:16">
      <c r="J131" t="s">
        <v>282</v>
      </c>
      <c r="K131" t="s">
        <v>45</v>
      </c>
      <c r="L131" t="s">
        <v>162</v>
      </c>
      <c r="M131" t="s">
        <v>98</v>
      </c>
      <c r="N131" t="s">
        <v>438</v>
      </c>
      <c r="O131" t="s">
        <v>437</v>
      </c>
      <c r="P131">
        <v>201700129</v>
      </c>
    </row>
    <row r="132" spans="10:16">
      <c r="J132" t="s">
        <v>283</v>
      </c>
      <c r="K132" t="s">
        <v>45</v>
      </c>
      <c r="L132" t="s">
        <v>162</v>
      </c>
      <c r="M132" t="s">
        <v>98</v>
      </c>
      <c r="N132" t="s">
        <v>438</v>
      </c>
      <c r="O132" t="s">
        <v>437</v>
      </c>
      <c r="P132">
        <v>201700130</v>
      </c>
    </row>
    <row r="133" spans="10:16">
      <c r="J133" t="s">
        <v>210</v>
      </c>
      <c r="K133" t="s">
        <v>45</v>
      </c>
      <c r="L133" t="s">
        <v>162</v>
      </c>
      <c r="M133" t="s">
        <v>98</v>
      </c>
      <c r="N133" t="s">
        <v>438</v>
      </c>
      <c r="O133" t="s">
        <v>437</v>
      </c>
      <c r="P133">
        <v>201700131</v>
      </c>
    </row>
    <row r="134" spans="10:16">
      <c r="J134" t="s">
        <v>42</v>
      </c>
      <c r="K134" t="s">
        <v>45</v>
      </c>
      <c r="L134" t="s">
        <v>162</v>
      </c>
      <c r="M134" t="s">
        <v>98</v>
      </c>
      <c r="N134" t="s">
        <v>438</v>
      </c>
      <c r="O134" t="s">
        <v>437</v>
      </c>
      <c r="P134">
        <v>201700132</v>
      </c>
    </row>
    <row r="135" spans="10:16">
      <c r="J135" t="s">
        <v>284</v>
      </c>
      <c r="K135" t="s">
        <v>45</v>
      </c>
      <c r="L135" t="s">
        <v>162</v>
      </c>
      <c r="M135" t="s">
        <v>98</v>
      </c>
      <c r="N135" t="s">
        <v>438</v>
      </c>
      <c r="O135" t="s">
        <v>437</v>
      </c>
      <c r="P135">
        <v>201700133</v>
      </c>
    </row>
    <row r="136" spans="10:16">
      <c r="J136" t="s">
        <v>48</v>
      </c>
      <c r="K136" t="s">
        <v>45</v>
      </c>
      <c r="L136" t="s">
        <v>162</v>
      </c>
      <c r="M136" t="s">
        <v>98</v>
      </c>
      <c r="N136" t="s">
        <v>438</v>
      </c>
      <c r="O136" t="s">
        <v>437</v>
      </c>
      <c r="P136">
        <v>201700134</v>
      </c>
    </row>
    <row r="137" spans="10:16">
      <c r="J137" t="s">
        <v>285</v>
      </c>
      <c r="K137" t="s">
        <v>45</v>
      </c>
      <c r="L137" t="s">
        <v>162</v>
      </c>
      <c r="M137" t="s">
        <v>98</v>
      </c>
      <c r="N137" t="s">
        <v>438</v>
      </c>
      <c r="O137" t="s">
        <v>437</v>
      </c>
      <c r="P137">
        <v>201700135</v>
      </c>
    </row>
    <row r="138" spans="10:16">
      <c r="J138" t="s">
        <v>286</v>
      </c>
      <c r="K138" t="s">
        <v>45</v>
      </c>
      <c r="L138" t="s">
        <v>162</v>
      </c>
      <c r="M138" t="s">
        <v>98</v>
      </c>
      <c r="N138" t="s">
        <v>438</v>
      </c>
      <c r="O138" t="s">
        <v>437</v>
      </c>
      <c r="P138">
        <v>201700136</v>
      </c>
    </row>
    <row r="139" spans="10:16">
      <c r="J139" t="s">
        <v>287</v>
      </c>
      <c r="K139" t="s">
        <v>288</v>
      </c>
      <c r="L139" t="s">
        <v>289</v>
      </c>
      <c r="M139" t="s">
        <v>98</v>
      </c>
      <c r="N139" t="s">
        <v>438</v>
      </c>
      <c r="O139" t="s">
        <v>437</v>
      </c>
      <c r="P139">
        <v>201700137</v>
      </c>
    </row>
    <row r="140" spans="10:16">
      <c r="J140" t="s">
        <v>290</v>
      </c>
      <c r="K140" t="s">
        <v>288</v>
      </c>
      <c r="L140" t="s">
        <v>289</v>
      </c>
      <c r="M140" t="s">
        <v>98</v>
      </c>
      <c r="N140" t="s">
        <v>438</v>
      </c>
      <c r="O140" t="s">
        <v>437</v>
      </c>
      <c r="P140">
        <v>201700138</v>
      </c>
    </row>
    <row r="141" spans="10:16">
      <c r="J141" t="s">
        <v>291</v>
      </c>
      <c r="K141" t="s">
        <v>288</v>
      </c>
      <c r="L141" t="s">
        <v>289</v>
      </c>
      <c r="M141" t="s">
        <v>98</v>
      </c>
      <c r="N141" t="s">
        <v>438</v>
      </c>
      <c r="O141" t="s">
        <v>437</v>
      </c>
      <c r="P141">
        <v>201700139</v>
      </c>
    </row>
    <row r="142" spans="10:16">
      <c r="J142" t="s">
        <v>292</v>
      </c>
      <c r="K142" t="s">
        <v>288</v>
      </c>
      <c r="L142" t="s">
        <v>289</v>
      </c>
      <c r="M142" t="s">
        <v>98</v>
      </c>
      <c r="N142" t="s">
        <v>438</v>
      </c>
      <c r="O142" t="s">
        <v>437</v>
      </c>
      <c r="P142">
        <v>201700140</v>
      </c>
    </row>
    <row r="143" spans="10:16">
      <c r="J143" t="s">
        <v>41</v>
      </c>
      <c r="K143" t="s">
        <v>288</v>
      </c>
      <c r="L143" t="s">
        <v>289</v>
      </c>
      <c r="M143" t="s">
        <v>98</v>
      </c>
      <c r="N143" t="s">
        <v>438</v>
      </c>
      <c r="O143" t="s">
        <v>437</v>
      </c>
      <c r="P143">
        <v>201700141</v>
      </c>
    </row>
    <row r="144" spans="10:16">
      <c r="J144" t="s">
        <v>293</v>
      </c>
      <c r="K144" t="s">
        <v>288</v>
      </c>
      <c r="L144" t="s">
        <v>289</v>
      </c>
      <c r="M144" t="s">
        <v>98</v>
      </c>
      <c r="N144" t="s">
        <v>438</v>
      </c>
      <c r="O144" t="s">
        <v>437</v>
      </c>
      <c r="P144">
        <v>201700142</v>
      </c>
    </row>
    <row r="145" spans="10:16">
      <c r="J145" t="s">
        <v>294</v>
      </c>
      <c r="K145" t="s">
        <v>288</v>
      </c>
      <c r="L145" t="s">
        <v>289</v>
      </c>
      <c r="M145" t="s">
        <v>98</v>
      </c>
      <c r="N145" t="s">
        <v>438</v>
      </c>
      <c r="O145" t="s">
        <v>437</v>
      </c>
      <c r="P145">
        <v>201700143</v>
      </c>
    </row>
    <row r="146" spans="10:16">
      <c r="J146" t="s">
        <v>295</v>
      </c>
      <c r="K146" t="s">
        <v>288</v>
      </c>
      <c r="L146" t="s">
        <v>289</v>
      </c>
      <c r="M146" t="s">
        <v>98</v>
      </c>
      <c r="N146" t="s">
        <v>438</v>
      </c>
      <c r="O146" t="s">
        <v>437</v>
      </c>
      <c r="P146">
        <v>201700144</v>
      </c>
    </row>
    <row r="147" spans="10:16">
      <c r="J147" t="s">
        <v>296</v>
      </c>
      <c r="K147" t="s">
        <v>288</v>
      </c>
      <c r="L147" t="s">
        <v>289</v>
      </c>
      <c r="M147" t="s">
        <v>98</v>
      </c>
      <c r="N147" t="s">
        <v>438</v>
      </c>
      <c r="O147" t="s">
        <v>437</v>
      </c>
      <c r="P147">
        <v>201700145</v>
      </c>
    </row>
    <row r="148" spans="10:16">
      <c r="J148" t="s">
        <v>297</v>
      </c>
      <c r="K148" t="s">
        <v>288</v>
      </c>
      <c r="L148" t="s">
        <v>289</v>
      </c>
      <c r="M148" t="s">
        <v>98</v>
      </c>
      <c r="N148" t="s">
        <v>438</v>
      </c>
      <c r="O148" t="s">
        <v>437</v>
      </c>
      <c r="P148">
        <v>201700146</v>
      </c>
    </row>
    <row r="149" spans="10:16">
      <c r="J149" t="s">
        <v>298</v>
      </c>
      <c r="K149" t="s">
        <v>288</v>
      </c>
      <c r="L149" t="s">
        <v>289</v>
      </c>
      <c r="M149" t="s">
        <v>98</v>
      </c>
      <c r="N149" t="s">
        <v>438</v>
      </c>
      <c r="O149" t="s">
        <v>437</v>
      </c>
      <c r="P149">
        <v>201700147</v>
      </c>
    </row>
    <row r="150" spans="10:16">
      <c r="J150" t="s">
        <v>299</v>
      </c>
      <c r="K150" t="s">
        <v>288</v>
      </c>
      <c r="L150" t="s">
        <v>289</v>
      </c>
      <c r="M150" t="s">
        <v>98</v>
      </c>
      <c r="N150" t="s">
        <v>438</v>
      </c>
      <c r="O150" t="s">
        <v>437</v>
      </c>
      <c r="P150">
        <v>201700148</v>
      </c>
    </row>
    <row r="151" spans="10:16">
      <c r="J151" t="s">
        <v>42</v>
      </c>
      <c r="K151" t="s">
        <v>288</v>
      </c>
      <c r="L151" t="s">
        <v>289</v>
      </c>
      <c r="M151" t="s">
        <v>98</v>
      </c>
      <c r="N151" t="s">
        <v>438</v>
      </c>
      <c r="O151" t="s">
        <v>437</v>
      </c>
      <c r="P151">
        <v>201700149</v>
      </c>
    </row>
    <row r="152" spans="10:16">
      <c r="J152" t="s">
        <v>225</v>
      </c>
      <c r="K152" t="s">
        <v>288</v>
      </c>
      <c r="L152" t="s">
        <v>289</v>
      </c>
      <c r="M152" t="s">
        <v>98</v>
      </c>
      <c r="N152" t="s">
        <v>438</v>
      </c>
      <c r="O152" t="s">
        <v>437</v>
      </c>
      <c r="P152">
        <v>201700150</v>
      </c>
    </row>
    <row r="153" spans="10:16">
      <c r="J153" t="s">
        <v>226</v>
      </c>
      <c r="K153" t="s">
        <v>288</v>
      </c>
      <c r="L153" t="s">
        <v>289</v>
      </c>
      <c r="M153" t="s">
        <v>98</v>
      </c>
      <c r="N153" t="s">
        <v>438</v>
      </c>
      <c r="O153" t="s">
        <v>437</v>
      </c>
      <c r="P153">
        <v>201700151</v>
      </c>
    </row>
    <row r="154" spans="10:16">
      <c r="J154" t="s">
        <v>235</v>
      </c>
      <c r="K154" t="s">
        <v>288</v>
      </c>
      <c r="L154" t="s">
        <v>289</v>
      </c>
      <c r="M154" t="s">
        <v>98</v>
      </c>
      <c r="N154" t="s">
        <v>438</v>
      </c>
      <c r="O154" t="s">
        <v>437</v>
      </c>
      <c r="P154">
        <v>201700152</v>
      </c>
    </row>
    <row r="155" spans="10:16">
      <c r="J155" t="s">
        <v>300</v>
      </c>
      <c r="K155" t="s">
        <v>288</v>
      </c>
      <c r="L155" t="s">
        <v>289</v>
      </c>
      <c r="M155" t="s">
        <v>98</v>
      </c>
      <c r="N155" t="s">
        <v>438</v>
      </c>
      <c r="O155" t="s">
        <v>437</v>
      </c>
      <c r="P155">
        <v>201700153</v>
      </c>
    </row>
    <row r="156" spans="10:16">
      <c r="J156" t="s">
        <v>301</v>
      </c>
      <c r="K156" t="s">
        <v>288</v>
      </c>
      <c r="L156" t="s">
        <v>289</v>
      </c>
      <c r="M156" t="s">
        <v>98</v>
      </c>
      <c r="N156" t="s">
        <v>438</v>
      </c>
      <c r="O156" t="s">
        <v>437</v>
      </c>
      <c r="P156">
        <v>201700154</v>
      </c>
    </row>
    <row r="157" spans="10:16">
      <c r="J157" t="s">
        <v>302</v>
      </c>
      <c r="K157" t="s">
        <v>288</v>
      </c>
      <c r="L157" t="s">
        <v>289</v>
      </c>
      <c r="M157" t="s">
        <v>98</v>
      </c>
      <c r="N157" t="s">
        <v>438</v>
      </c>
      <c r="O157" t="s">
        <v>437</v>
      </c>
      <c r="P157">
        <v>201700155</v>
      </c>
    </row>
    <row r="158" spans="10:16">
      <c r="J158" t="s">
        <v>303</v>
      </c>
      <c r="K158" t="s">
        <v>288</v>
      </c>
      <c r="L158" t="s">
        <v>289</v>
      </c>
      <c r="M158" t="s">
        <v>98</v>
      </c>
      <c r="N158" t="s">
        <v>438</v>
      </c>
      <c r="O158" t="s">
        <v>437</v>
      </c>
      <c r="P158">
        <v>201700156</v>
      </c>
    </row>
    <row r="159" spans="10:16">
      <c r="J159" t="s">
        <v>304</v>
      </c>
      <c r="K159" t="s">
        <v>288</v>
      </c>
      <c r="L159" t="s">
        <v>289</v>
      </c>
      <c r="M159" t="s">
        <v>98</v>
      </c>
      <c r="N159" t="s">
        <v>438</v>
      </c>
      <c r="O159" t="s">
        <v>437</v>
      </c>
      <c r="P159">
        <v>201700157</v>
      </c>
    </row>
    <row r="160" spans="10:16">
      <c r="J160" t="s">
        <v>305</v>
      </c>
      <c r="K160" t="s">
        <v>288</v>
      </c>
      <c r="L160" t="s">
        <v>289</v>
      </c>
      <c r="M160" t="s">
        <v>98</v>
      </c>
      <c r="N160" t="s">
        <v>438</v>
      </c>
      <c r="O160" t="s">
        <v>437</v>
      </c>
      <c r="P160">
        <v>201700158</v>
      </c>
    </row>
    <row r="161" spans="10:16">
      <c r="J161" t="s">
        <v>48</v>
      </c>
      <c r="K161" t="s">
        <v>288</v>
      </c>
      <c r="L161" t="s">
        <v>289</v>
      </c>
      <c r="M161" t="s">
        <v>98</v>
      </c>
      <c r="N161" t="s">
        <v>438</v>
      </c>
      <c r="O161" t="s">
        <v>437</v>
      </c>
      <c r="P161">
        <v>201700159</v>
      </c>
    </row>
    <row r="162" spans="10:16">
      <c r="J162" t="s">
        <v>306</v>
      </c>
      <c r="K162" t="s">
        <v>288</v>
      </c>
      <c r="L162" t="s">
        <v>289</v>
      </c>
      <c r="M162" t="s">
        <v>98</v>
      </c>
      <c r="N162" t="s">
        <v>438</v>
      </c>
      <c r="O162" t="s">
        <v>437</v>
      </c>
      <c r="P162">
        <v>201700160</v>
      </c>
    </row>
    <row r="163" spans="10:16">
      <c r="J163" t="s">
        <v>307</v>
      </c>
      <c r="K163" t="s">
        <v>288</v>
      </c>
      <c r="L163" t="s">
        <v>289</v>
      </c>
      <c r="M163" t="s">
        <v>98</v>
      </c>
      <c r="N163" t="s">
        <v>438</v>
      </c>
      <c r="O163" t="s">
        <v>437</v>
      </c>
      <c r="P163">
        <v>201700161</v>
      </c>
    </row>
    <row r="164" spans="10:16">
      <c r="J164" t="s">
        <v>308</v>
      </c>
      <c r="K164" t="s">
        <v>288</v>
      </c>
      <c r="L164" t="s">
        <v>289</v>
      </c>
      <c r="M164" t="s">
        <v>98</v>
      </c>
      <c r="N164" t="s">
        <v>438</v>
      </c>
      <c r="O164" t="s">
        <v>437</v>
      </c>
      <c r="P164">
        <v>201700162</v>
      </c>
    </row>
    <row r="165" spans="10:16">
      <c r="J165" t="s">
        <v>309</v>
      </c>
      <c r="K165" t="s">
        <v>288</v>
      </c>
      <c r="L165" t="s">
        <v>289</v>
      </c>
      <c r="M165" t="s">
        <v>98</v>
      </c>
      <c r="N165" t="s">
        <v>438</v>
      </c>
      <c r="O165" t="s">
        <v>437</v>
      </c>
      <c r="P165">
        <v>201700163</v>
      </c>
    </row>
    <row r="166" spans="10:16">
      <c r="J166" t="s">
        <v>310</v>
      </c>
      <c r="K166" t="s">
        <v>288</v>
      </c>
      <c r="L166" t="s">
        <v>289</v>
      </c>
      <c r="M166" t="s">
        <v>98</v>
      </c>
      <c r="N166" t="s">
        <v>438</v>
      </c>
      <c r="O166" t="s">
        <v>437</v>
      </c>
      <c r="P166">
        <v>201700164</v>
      </c>
    </row>
    <row r="167" spans="10:16">
      <c r="J167" t="s">
        <v>232</v>
      </c>
      <c r="K167" t="s">
        <v>288</v>
      </c>
      <c r="L167" t="s">
        <v>289</v>
      </c>
      <c r="M167" t="s">
        <v>98</v>
      </c>
      <c r="N167" t="s">
        <v>438</v>
      </c>
      <c r="O167" t="s">
        <v>437</v>
      </c>
      <c r="P167">
        <v>201700165</v>
      </c>
    </row>
    <row r="168" spans="10:16">
      <c r="J168" t="s">
        <v>274</v>
      </c>
      <c r="K168" t="s">
        <v>288</v>
      </c>
      <c r="L168" t="s">
        <v>289</v>
      </c>
      <c r="M168" t="s">
        <v>98</v>
      </c>
      <c r="N168" t="s">
        <v>438</v>
      </c>
      <c r="O168" t="s">
        <v>437</v>
      </c>
      <c r="P168">
        <v>201700166</v>
      </c>
    </row>
    <row r="169" spans="10:16">
      <c r="J169" t="s">
        <v>311</v>
      </c>
      <c r="K169" t="s">
        <v>288</v>
      </c>
      <c r="L169" t="s">
        <v>289</v>
      </c>
      <c r="M169" t="s">
        <v>98</v>
      </c>
      <c r="N169" t="s">
        <v>438</v>
      </c>
      <c r="O169" t="s">
        <v>437</v>
      </c>
      <c r="P169">
        <v>201700167</v>
      </c>
    </row>
    <row r="170" spans="10:16">
      <c r="J170" t="s">
        <v>312</v>
      </c>
      <c r="K170" t="s">
        <v>288</v>
      </c>
      <c r="L170" t="s">
        <v>289</v>
      </c>
      <c r="M170" t="s">
        <v>98</v>
      </c>
      <c r="N170" t="s">
        <v>438</v>
      </c>
      <c r="O170" t="s">
        <v>437</v>
      </c>
      <c r="P170">
        <v>201700168</v>
      </c>
    </row>
    <row r="171" spans="10:16">
      <c r="J171" t="s">
        <v>313</v>
      </c>
      <c r="K171" t="s">
        <v>288</v>
      </c>
      <c r="L171" t="s">
        <v>289</v>
      </c>
      <c r="M171" t="s">
        <v>98</v>
      </c>
      <c r="N171" t="s">
        <v>438</v>
      </c>
      <c r="O171" t="s">
        <v>437</v>
      </c>
      <c r="P171">
        <v>201700169</v>
      </c>
    </row>
    <row r="172" spans="10:16">
      <c r="J172" t="s">
        <v>314</v>
      </c>
      <c r="K172" t="s">
        <v>68</v>
      </c>
      <c r="L172" t="s">
        <v>315</v>
      </c>
      <c r="M172" t="s">
        <v>98</v>
      </c>
      <c r="N172" t="s">
        <v>438</v>
      </c>
      <c r="O172" t="s">
        <v>437</v>
      </c>
      <c r="P172">
        <v>201700170</v>
      </c>
    </row>
    <row r="173" spans="10:16">
      <c r="J173" t="s">
        <v>316</v>
      </c>
      <c r="K173" t="s">
        <v>68</v>
      </c>
      <c r="L173" t="s">
        <v>315</v>
      </c>
      <c r="M173" t="s">
        <v>98</v>
      </c>
      <c r="N173" t="s">
        <v>438</v>
      </c>
      <c r="O173" t="s">
        <v>437</v>
      </c>
      <c r="P173">
        <v>201700171</v>
      </c>
    </row>
    <row r="174" spans="10:16">
      <c r="J174" t="s">
        <v>317</v>
      </c>
      <c r="K174" t="s">
        <v>68</v>
      </c>
      <c r="L174" t="s">
        <v>315</v>
      </c>
      <c r="M174" t="s">
        <v>98</v>
      </c>
      <c r="N174" t="s">
        <v>438</v>
      </c>
      <c r="O174" t="s">
        <v>437</v>
      </c>
      <c r="P174">
        <v>201700172</v>
      </c>
    </row>
    <row r="175" spans="10:16">
      <c r="J175" t="s">
        <v>318</v>
      </c>
      <c r="K175" t="s">
        <v>68</v>
      </c>
      <c r="L175" t="s">
        <v>315</v>
      </c>
      <c r="M175" t="s">
        <v>98</v>
      </c>
      <c r="N175" t="s">
        <v>438</v>
      </c>
      <c r="O175" t="s">
        <v>437</v>
      </c>
      <c r="P175">
        <v>201700173</v>
      </c>
    </row>
    <row r="176" spans="10:16">
      <c r="J176" t="s">
        <v>83</v>
      </c>
      <c r="K176" t="s">
        <v>68</v>
      </c>
      <c r="L176" t="s">
        <v>315</v>
      </c>
      <c r="M176" t="s">
        <v>98</v>
      </c>
      <c r="N176" t="s">
        <v>438</v>
      </c>
      <c r="O176" t="s">
        <v>437</v>
      </c>
      <c r="P176">
        <v>201700174</v>
      </c>
    </row>
    <row r="177" spans="10:16">
      <c r="J177" t="s">
        <v>319</v>
      </c>
      <c r="K177" t="s">
        <v>68</v>
      </c>
      <c r="L177" t="s">
        <v>315</v>
      </c>
      <c r="M177" t="s">
        <v>98</v>
      </c>
      <c r="N177" t="s">
        <v>438</v>
      </c>
      <c r="O177" t="s">
        <v>437</v>
      </c>
      <c r="P177">
        <v>201700175</v>
      </c>
    </row>
    <row r="178" spans="10:16">
      <c r="J178" t="s">
        <v>72</v>
      </c>
      <c r="K178" t="s">
        <v>68</v>
      </c>
      <c r="L178" t="s">
        <v>315</v>
      </c>
      <c r="M178" t="s">
        <v>98</v>
      </c>
      <c r="N178" t="s">
        <v>438</v>
      </c>
      <c r="O178" t="s">
        <v>437</v>
      </c>
      <c r="P178">
        <v>201700176</v>
      </c>
    </row>
    <row r="179" spans="10:16">
      <c r="J179" t="s">
        <v>78</v>
      </c>
      <c r="K179" t="s">
        <v>68</v>
      </c>
      <c r="L179" t="s">
        <v>315</v>
      </c>
      <c r="M179" t="s">
        <v>98</v>
      </c>
      <c r="N179" t="s">
        <v>438</v>
      </c>
      <c r="O179" t="s">
        <v>437</v>
      </c>
      <c r="P179">
        <v>201700177</v>
      </c>
    </row>
    <row r="180" spans="10:16">
      <c r="J180" t="s">
        <v>320</v>
      </c>
      <c r="K180" t="s">
        <v>68</v>
      </c>
      <c r="L180" t="s">
        <v>315</v>
      </c>
      <c r="M180" t="s">
        <v>98</v>
      </c>
      <c r="N180" t="s">
        <v>438</v>
      </c>
      <c r="O180" t="s">
        <v>437</v>
      </c>
      <c r="P180">
        <v>201700178</v>
      </c>
    </row>
    <row r="181" spans="10:16">
      <c r="J181" t="s">
        <v>210</v>
      </c>
      <c r="K181" t="s">
        <v>68</v>
      </c>
      <c r="L181" t="s">
        <v>315</v>
      </c>
      <c r="M181" t="s">
        <v>98</v>
      </c>
      <c r="N181" t="s">
        <v>438</v>
      </c>
      <c r="O181" t="s">
        <v>437</v>
      </c>
      <c r="P181">
        <v>201700179</v>
      </c>
    </row>
    <row r="182" spans="10:16">
      <c r="J182" t="s">
        <v>321</v>
      </c>
      <c r="K182" t="s">
        <v>68</v>
      </c>
      <c r="L182" t="s">
        <v>315</v>
      </c>
      <c r="M182" t="s">
        <v>98</v>
      </c>
      <c r="N182" t="s">
        <v>438</v>
      </c>
      <c r="O182" t="s">
        <v>437</v>
      </c>
      <c r="P182">
        <v>201700180</v>
      </c>
    </row>
    <row r="183" spans="10:16">
      <c r="J183" t="s">
        <v>51</v>
      </c>
      <c r="K183" t="s">
        <v>68</v>
      </c>
      <c r="L183" t="s">
        <v>315</v>
      </c>
      <c r="M183" t="s">
        <v>98</v>
      </c>
      <c r="N183" t="s">
        <v>438</v>
      </c>
      <c r="O183" t="s">
        <v>437</v>
      </c>
      <c r="P183">
        <v>201700181</v>
      </c>
    </row>
    <row r="184" spans="10:16">
      <c r="J184" t="s">
        <v>322</v>
      </c>
      <c r="K184" t="s">
        <v>68</v>
      </c>
      <c r="L184" t="s">
        <v>315</v>
      </c>
      <c r="M184" t="s">
        <v>98</v>
      </c>
      <c r="N184" t="s">
        <v>438</v>
      </c>
      <c r="O184" t="s">
        <v>437</v>
      </c>
      <c r="P184">
        <v>201700182</v>
      </c>
    </row>
    <row r="185" spans="10:16">
      <c r="J185" t="s">
        <v>323</v>
      </c>
      <c r="K185" t="s">
        <v>68</v>
      </c>
      <c r="L185" t="s">
        <v>315</v>
      </c>
      <c r="M185" t="s">
        <v>98</v>
      </c>
      <c r="N185" t="s">
        <v>438</v>
      </c>
      <c r="O185" t="s">
        <v>437</v>
      </c>
      <c r="P185">
        <v>201700183</v>
      </c>
    </row>
    <row r="186" spans="10:16">
      <c r="J186" t="s">
        <v>59</v>
      </c>
      <c r="K186" t="s">
        <v>68</v>
      </c>
      <c r="L186" t="s">
        <v>315</v>
      </c>
      <c r="M186" t="s">
        <v>98</v>
      </c>
      <c r="N186" t="s">
        <v>438</v>
      </c>
      <c r="O186" t="s">
        <v>437</v>
      </c>
      <c r="P186">
        <v>201700184</v>
      </c>
    </row>
    <row r="187" spans="10:16">
      <c r="J187" t="s">
        <v>324</v>
      </c>
      <c r="K187" t="s">
        <v>68</v>
      </c>
      <c r="L187" t="s">
        <v>315</v>
      </c>
      <c r="M187" t="s">
        <v>98</v>
      </c>
      <c r="N187" t="s">
        <v>438</v>
      </c>
      <c r="O187" t="s">
        <v>437</v>
      </c>
      <c r="P187">
        <v>201700185</v>
      </c>
    </row>
    <row r="188" spans="10:16">
      <c r="J188" t="s">
        <v>325</v>
      </c>
      <c r="K188" t="s">
        <v>68</v>
      </c>
      <c r="L188" t="s">
        <v>315</v>
      </c>
      <c r="M188" t="s">
        <v>98</v>
      </c>
      <c r="N188" t="s">
        <v>438</v>
      </c>
      <c r="O188" t="s">
        <v>437</v>
      </c>
      <c r="P188">
        <v>201700186</v>
      </c>
    </row>
    <row r="189" spans="10:16">
      <c r="J189" t="s">
        <v>326</v>
      </c>
      <c r="K189" t="s">
        <v>68</v>
      </c>
      <c r="L189" t="s">
        <v>315</v>
      </c>
      <c r="M189" t="s">
        <v>98</v>
      </c>
      <c r="N189" t="s">
        <v>438</v>
      </c>
      <c r="O189" t="s">
        <v>437</v>
      </c>
      <c r="P189">
        <v>201700187</v>
      </c>
    </row>
    <row r="190" spans="10:16">
      <c r="J190" t="s">
        <v>327</v>
      </c>
      <c r="K190" t="s">
        <v>68</v>
      </c>
      <c r="L190" t="s">
        <v>315</v>
      </c>
      <c r="M190" t="s">
        <v>98</v>
      </c>
      <c r="N190" t="s">
        <v>438</v>
      </c>
      <c r="O190" t="s">
        <v>437</v>
      </c>
      <c r="P190">
        <v>201700188</v>
      </c>
    </row>
    <row r="191" spans="10:16">
      <c r="J191" t="s">
        <v>79</v>
      </c>
      <c r="K191" t="s">
        <v>68</v>
      </c>
      <c r="L191" t="s">
        <v>315</v>
      </c>
      <c r="M191" t="s">
        <v>98</v>
      </c>
      <c r="N191" t="s">
        <v>438</v>
      </c>
      <c r="O191" t="s">
        <v>437</v>
      </c>
      <c r="P191">
        <v>201700189</v>
      </c>
    </row>
    <row r="192" spans="10:16">
      <c r="J192" t="s">
        <v>76</v>
      </c>
      <c r="K192" t="s">
        <v>68</v>
      </c>
      <c r="L192" t="s">
        <v>315</v>
      </c>
      <c r="M192" t="s">
        <v>98</v>
      </c>
      <c r="N192" t="s">
        <v>438</v>
      </c>
      <c r="O192" t="s">
        <v>437</v>
      </c>
      <c r="P192">
        <v>201700190</v>
      </c>
    </row>
    <row r="193" spans="10:16">
      <c r="J193" t="s">
        <v>328</v>
      </c>
      <c r="K193" t="s">
        <v>68</v>
      </c>
      <c r="L193" t="s">
        <v>315</v>
      </c>
      <c r="M193" t="s">
        <v>98</v>
      </c>
      <c r="N193" t="s">
        <v>438</v>
      </c>
      <c r="O193" t="s">
        <v>437</v>
      </c>
      <c r="P193">
        <v>201700191</v>
      </c>
    </row>
    <row r="194" spans="10:16">
      <c r="J194" t="s">
        <v>329</v>
      </c>
      <c r="K194" t="s">
        <v>68</v>
      </c>
      <c r="L194" t="s">
        <v>315</v>
      </c>
      <c r="M194" t="s">
        <v>98</v>
      </c>
      <c r="N194" t="s">
        <v>438</v>
      </c>
      <c r="O194" t="s">
        <v>437</v>
      </c>
      <c r="P194">
        <v>201700192</v>
      </c>
    </row>
    <row r="195" spans="10:16">
      <c r="J195" t="s">
        <v>330</v>
      </c>
      <c r="K195" t="s">
        <v>68</v>
      </c>
      <c r="L195" t="s">
        <v>315</v>
      </c>
      <c r="M195" t="s">
        <v>98</v>
      </c>
      <c r="N195" t="s">
        <v>438</v>
      </c>
      <c r="O195" t="s">
        <v>437</v>
      </c>
      <c r="P195">
        <v>201700193</v>
      </c>
    </row>
    <row r="196" spans="10:16">
      <c r="J196" t="s">
        <v>290</v>
      </c>
      <c r="K196" t="s">
        <v>68</v>
      </c>
      <c r="L196" t="s">
        <v>315</v>
      </c>
      <c r="M196" t="s">
        <v>98</v>
      </c>
      <c r="N196" t="s">
        <v>438</v>
      </c>
      <c r="O196" t="s">
        <v>437</v>
      </c>
      <c r="P196">
        <v>201700194</v>
      </c>
    </row>
    <row r="197" spans="10:16">
      <c r="J197" t="s">
        <v>331</v>
      </c>
      <c r="K197" t="s">
        <v>68</v>
      </c>
      <c r="L197" t="s">
        <v>315</v>
      </c>
      <c r="M197" t="s">
        <v>98</v>
      </c>
      <c r="N197" t="s">
        <v>438</v>
      </c>
      <c r="O197" t="s">
        <v>437</v>
      </c>
      <c r="P197">
        <v>201700195</v>
      </c>
    </row>
    <row r="198" spans="10:16">
      <c r="J198" t="s">
        <v>332</v>
      </c>
      <c r="K198" t="s">
        <v>68</v>
      </c>
      <c r="L198" t="s">
        <v>315</v>
      </c>
      <c r="M198" t="s">
        <v>98</v>
      </c>
      <c r="N198" t="s">
        <v>438</v>
      </c>
      <c r="O198" t="s">
        <v>437</v>
      </c>
      <c r="P198">
        <v>201700196</v>
      </c>
    </row>
    <row r="199" spans="10:16">
      <c r="J199" t="s">
        <v>333</v>
      </c>
      <c r="K199" t="s">
        <v>68</v>
      </c>
      <c r="L199" t="s">
        <v>315</v>
      </c>
      <c r="M199" t="s">
        <v>98</v>
      </c>
      <c r="N199" t="s">
        <v>438</v>
      </c>
      <c r="O199" t="s">
        <v>437</v>
      </c>
      <c r="P199">
        <v>201700197</v>
      </c>
    </row>
    <row r="200" spans="10:16">
      <c r="J200" t="s">
        <v>334</v>
      </c>
      <c r="K200" t="s">
        <v>68</v>
      </c>
      <c r="L200" t="s">
        <v>315</v>
      </c>
      <c r="M200" t="s">
        <v>98</v>
      </c>
      <c r="N200" t="s">
        <v>438</v>
      </c>
      <c r="O200" t="s">
        <v>437</v>
      </c>
      <c r="P200">
        <v>201700198</v>
      </c>
    </row>
    <row r="201" spans="10:16">
      <c r="J201" t="s">
        <v>335</v>
      </c>
      <c r="K201" t="s">
        <v>68</v>
      </c>
      <c r="L201" t="s">
        <v>315</v>
      </c>
      <c r="M201" t="s">
        <v>98</v>
      </c>
      <c r="N201" t="s">
        <v>438</v>
      </c>
      <c r="O201" t="s">
        <v>437</v>
      </c>
      <c r="P201">
        <v>201700199</v>
      </c>
    </row>
    <row r="202" spans="10:16">
      <c r="J202" t="s">
        <v>336</v>
      </c>
      <c r="K202" t="s">
        <v>68</v>
      </c>
      <c r="L202" t="s">
        <v>315</v>
      </c>
      <c r="M202" t="s">
        <v>98</v>
      </c>
      <c r="N202" t="s">
        <v>438</v>
      </c>
      <c r="O202" t="s">
        <v>437</v>
      </c>
      <c r="P202">
        <v>201700200</v>
      </c>
    </row>
    <row r="203" spans="10:16">
      <c r="J203" t="s">
        <v>337</v>
      </c>
      <c r="K203" t="s">
        <v>68</v>
      </c>
      <c r="L203" t="s">
        <v>315</v>
      </c>
      <c r="M203" t="s">
        <v>98</v>
      </c>
      <c r="N203" t="s">
        <v>438</v>
      </c>
      <c r="O203" t="s">
        <v>437</v>
      </c>
      <c r="P203">
        <v>201700201</v>
      </c>
    </row>
    <row r="204" spans="10:16">
      <c r="J204" t="s">
        <v>338</v>
      </c>
      <c r="K204" t="s">
        <v>68</v>
      </c>
      <c r="L204" t="s">
        <v>315</v>
      </c>
      <c r="M204" t="s">
        <v>98</v>
      </c>
      <c r="N204" t="s">
        <v>438</v>
      </c>
      <c r="O204" t="s">
        <v>437</v>
      </c>
      <c r="P204">
        <v>201700202</v>
      </c>
    </row>
    <row r="205" spans="10:16">
      <c r="J205" t="s">
        <v>339</v>
      </c>
      <c r="K205" t="s">
        <v>68</v>
      </c>
      <c r="L205" t="s">
        <v>315</v>
      </c>
      <c r="M205" t="s">
        <v>98</v>
      </c>
      <c r="N205" t="s">
        <v>438</v>
      </c>
      <c r="O205" t="s">
        <v>437</v>
      </c>
      <c r="P205">
        <v>201700203</v>
      </c>
    </row>
    <row r="206" spans="10:16">
      <c r="J206" t="s">
        <v>340</v>
      </c>
      <c r="K206" t="s">
        <v>68</v>
      </c>
      <c r="L206" t="s">
        <v>315</v>
      </c>
      <c r="M206" t="s">
        <v>98</v>
      </c>
      <c r="N206" t="s">
        <v>438</v>
      </c>
      <c r="O206" t="s">
        <v>437</v>
      </c>
      <c r="P206">
        <v>201700204</v>
      </c>
    </row>
    <row r="207" spans="10:16">
      <c r="J207" t="s">
        <v>341</v>
      </c>
      <c r="K207" t="s">
        <v>68</v>
      </c>
      <c r="L207" t="s">
        <v>315</v>
      </c>
      <c r="M207" t="s">
        <v>98</v>
      </c>
      <c r="N207" t="s">
        <v>438</v>
      </c>
      <c r="O207" t="s">
        <v>437</v>
      </c>
      <c r="P207">
        <v>201700205</v>
      </c>
    </row>
    <row r="208" spans="10:16">
      <c r="J208" t="s">
        <v>342</v>
      </c>
      <c r="K208" t="s">
        <v>68</v>
      </c>
      <c r="L208" t="s">
        <v>315</v>
      </c>
      <c r="M208" t="s">
        <v>98</v>
      </c>
      <c r="N208" t="s">
        <v>438</v>
      </c>
      <c r="O208" t="s">
        <v>437</v>
      </c>
      <c r="P208">
        <v>201700206</v>
      </c>
    </row>
    <row r="209" spans="10:16">
      <c r="J209" t="s">
        <v>92</v>
      </c>
      <c r="K209" t="s">
        <v>68</v>
      </c>
      <c r="L209" t="s">
        <v>315</v>
      </c>
      <c r="M209" t="s">
        <v>98</v>
      </c>
      <c r="N209" t="s">
        <v>438</v>
      </c>
      <c r="O209" t="s">
        <v>437</v>
      </c>
      <c r="P209">
        <v>201700207</v>
      </c>
    </row>
    <row r="210" spans="10:16">
      <c r="J210" t="s">
        <v>60</v>
      </c>
      <c r="K210" t="s">
        <v>68</v>
      </c>
      <c r="L210" t="s">
        <v>315</v>
      </c>
      <c r="M210" t="s">
        <v>98</v>
      </c>
      <c r="N210" t="s">
        <v>438</v>
      </c>
      <c r="O210" t="s">
        <v>437</v>
      </c>
      <c r="P210">
        <v>201700208</v>
      </c>
    </row>
    <row r="211" spans="10:16">
      <c r="J211" t="s">
        <v>343</v>
      </c>
      <c r="K211" t="s">
        <v>68</v>
      </c>
      <c r="L211" t="s">
        <v>315</v>
      </c>
      <c r="M211" t="s">
        <v>98</v>
      </c>
      <c r="N211" t="s">
        <v>438</v>
      </c>
      <c r="O211" t="s">
        <v>437</v>
      </c>
      <c r="P211">
        <v>201700209</v>
      </c>
    </row>
    <row r="212" spans="10:16">
      <c r="J212" t="s">
        <v>84</v>
      </c>
      <c r="K212" t="s">
        <v>68</v>
      </c>
      <c r="L212" t="s">
        <v>315</v>
      </c>
      <c r="M212" t="s">
        <v>98</v>
      </c>
      <c r="N212" t="s">
        <v>438</v>
      </c>
      <c r="O212" t="s">
        <v>437</v>
      </c>
      <c r="P212">
        <v>201700210</v>
      </c>
    </row>
    <row r="213" spans="10:16">
      <c r="J213" t="s">
        <v>93</v>
      </c>
      <c r="K213" t="s">
        <v>68</v>
      </c>
      <c r="L213" t="s">
        <v>315</v>
      </c>
      <c r="M213" t="s">
        <v>98</v>
      </c>
      <c r="N213" t="s">
        <v>438</v>
      </c>
      <c r="O213" t="s">
        <v>437</v>
      </c>
      <c r="P213">
        <v>201700211</v>
      </c>
    </row>
    <row r="214" spans="10:16">
      <c r="J214" t="s">
        <v>193</v>
      </c>
      <c r="K214" t="s">
        <v>68</v>
      </c>
      <c r="L214" t="s">
        <v>315</v>
      </c>
      <c r="M214" t="s">
        <v>98</v>
      </c>
      <c r="N214" t="s">
        <v>438</v>
      </c>
      <c r="O214" t="s">
        <v>437</v>
      </c>
      <c r="P214">
        <v>201700212</v>
      </c>
    </row>
    <row r="215" spans="10:16">
      <c r="J215" t="s">
        <v>344</v>
      </c>
      <c r="K215" t="s">
        <v>68</v>
      </c>
      <c r="L215" t="s">
        <v>315</v>
      </c>
      <c r="M215" t="s">
        <v>98</v>
      </c>
      <c r="N215" t="s">
        <v>438</v>
      </c>
      <c r="O215" t="s">
        <v>437</v>
      </c>
      <c r="P215">
        <v>201700213</v>
      </c>
    </row>
    <row r="216" spans="10:16">
      <c r="J216" t="s">
        <v>345</v>
      </c>
      <c r="K216" t="s">
        <v>68</v>
      </c>
      <c r="L216" t="s">
        <v>315</v>
      </c>
      <c r="M216" t="s">
        <v>98</v>
      </c>
      <c r="N216" t="s">
        <v>438</v>
      </c>
      <c r="O216" t="s">
        <v>437</v>
      </c>
      <c r="P216">
        <v>201700214</v>
      </c>
    </row>
    <row r="217" spans="10:16">
      <c r="J217" t="s">
        <v>346</v>
      </c>
      <c r="K217" t="s">
        <v>68</v>
      </c>
      <c r="L217" t="s">
        <v>315</v>
      </c>
      <c r="M217" t="s">
        <v>98</v>
      </c>
      <c r="N217" t="s">
        <v>438</v>
      </c>
      <c r="O217" t="s">
        <v>437</v>
      </c>
      <c r="P217">
        <v>201700215</v>
      </c>
    </row>
    <row r="218" spans="10:16">
      <c r="J218" t="s">
        <v>83</v>
      </c>
      <c r="K218" t="s">
        <v>347</v>
      </c>
      <c r="L218" t="s">
        <v>289</v>
      </c>
      <c r="M218" t="s">
        <v>98</v>
      </c>
      <c r="N218" t="s">
        <v>438</v>
      </c>
      <c r="O218" t="s">
        <v>437</v>
      </c>
      <c r="P218">
        <v>201700216</v>
      </c>
    </row>
    <row r="219" spans="10:16">
      <c r="J219" t="s">
        <v>348</v>
      </c>
      <c r="K219" t="s">
        <v>347</v>
      </c>
      <c r="L219" t="s">
        <v>289</v>
      </c>
      <c r="M219" t="s">
        <v>98</v>
      </c>
      <c r="N219" t="s">
        <v>438</v>
      </c>
      <c r="O219" t="s">
        <v>437</v>
      </c>
      <c r="P219">
        <v>201700217</v>
      </c>
    </row>
    <row r="220" spans="10:16">
      <c r="J220" t="s">
        <v>349</v>
      </c>
      <c r="K220" t="s">
        <v>347</v>
      </c>
      <c r="L220" t="s">
        <v>289</v>
      </c>
      <c r="M220" t="s">
        <v>98</v>
      </c>
      <c r="N220" t="s">
        <v>438</v>
      </c>
      <c r="O220" t="s">
        <v>437</v>
      </c>
      <c r="P220">
        <v>201700218</v>
      </c>
    </row>
    <row r="221" spans="10:16">
      <c r="J221" t="s">
        <v>59</v>
      </c>
      <c r="K221" t="s">
        <v>347</v>
      </c>
      <c r="L221" t="s">
        <v>289</v>
      </c>
      <c r="M221" t="s">
        <v>98</v>
      </c>
      <c r="N221" t="s">
        <v>438</v>
      </c>
      <c r="O221" t="s">
        <v>437</v>
      </c>
      <c r="P221">
        <v>201700219</v>
      </c>
    </row>
    <row r="222" spans="10:16">
      <c r="J222" t="s">
        <v>257</v>
      </c>
      <c r="K222" t="s">
        <v>347</v>
      </c>
      <c r="L222" t="s">
        <v>289</v>
      </c>
      <c r="M222" t="s">
        <v>98</v>
      </c>
      <c r="N222" t="s">
        <v>438</v>
      </c>
      <c r="O222" t="s">
        <v>437</v>
      </c>
      <c r="P222">
        <v>201700220</v>
      </c>
    </row>
    <row r="223" spans="10:16">
      <c r="J223" t="s">
        <v>350</v>
      </c>
      <c r="K223" t="s">
        <v>347</v>
      </c>
      <c r="L223" t="s">
        <v>289</v>
      </c>
      <c r="M223" t="s">
        <v>98</v>
      </c>
      <c r="N223" t="s">
        <v>438</v>
      </c>
      <c r="O223" t="s">
        <v>437</v>
      </c>
      <c r="P223">
        <v>201700221</v>
      </c>
    </row>
    <row r="224" spans="10:16">
      <c r="J224" t="s">
        <v>320</v>
      </c>
      <c r="K224" t="s">
        <v>347</v>
      </c>
      <c r="L224" t="s">
        <v>289</v>
      </c>
      <c r="M224" t="s">
        <v>98</v>
      </c>
      <c r="N224" t="s">
        <v>438</v>
      </c>
      <c r="O224" t="s">
        <v>437</v>
      </c>
      <c r="P224">
        <v>201700222</v>
      </c>
    </row>
    <row r="225" spans="10:16">
      <c r="J225" t="s">
        <v>351</v>
      </c>
      <c r="K225" t="s">
        <v>347</v>
      </c>
      <c r="L225" t="s">
        <v>289</v>
      </c>
      <c r="M225" t="s">
        <v>98</v>
      </c>
      <c r="N225" t="s">
        <v>438</v>
      </c>
      <c r="O225" t="s">
        <v>437</v>
      </c>
      <c r="P225">
        <v>201700223</v>
      </c>
    </row>
    <row r="226" spans="10:16">
      <c r="J226" t="s">
        <v>352</v>
      </c>
      <c r="K226" t="s">
        <v>347</v>
      </c>
      <c r="L226" t="s">
        <v>289</v>
      </c>
      <c r="M226" t="s">
        <v>98</v>
      </c>
      <c r="N226" t="s">
        <v>438</v>
      </c>
      <c r="O226" t="s">
        <v>437</v>
      </c>
      <c r="P226">
        <v>201700224</v>
      </c>
    </row>
    <row r="227" spans="10:16">
      <c r="J227" t="s">
        <v>326</v>
      </c>
      <c r="K227" t="s">
        <v>347</v>
      </c>
      <c r="L227" t="s">
        <v>289</v>
      </c>
      <c r="M227" t="s">
        <v>98</v>
      </c>
      <c r="N227" t="s">
        <v>438</v>
      </c>
      <c r="O227" t="s">
        <v>437</v>
      </c>
      <c r="P227">
        <v>201700225</v>
      </c>
    </row>
    <row r="228" spans="10:16">
      <c r="J228" t="s">
        <v>341</v>
      </c>
      <c r="K228" t="s">
        <v>347</v>
      </c>
      <c r="L228" t="s">
        <v>289</v>
      </c>
      <c r="M228" t="s">
        <v>98</v>
      </c>
      <c r="N228" t="s">
        <v>438</v>
      </c>
      <c r="O228" t="s">
        <v>437</v>
      </c>
      <c r="P228">
        <v>201700226</v>
      </c>
    </row>
    <row r="229" spans="10:16">
      <c r="J229" t="s">
        <v>353</v>
      </c>
      <c r="K229" t="s">
        <v>347</v>
      </c>
      <c r="L229" t="s">
        <v>289</v>
      </c>
      <c r="M229" t="s">
        <v>98</v>
      </c>
      <c r="N229" t="s">
        <v>438</v>
      </c>
      <c r="O229" t="s">
        <v>437</v>
      </c>
      <c r="P229">
        <v>201700227</v>
      </c>
    </row>
    <row r="230" spans="10:16">
      <c r="J230" t="s">
        <v>354</v>
      </c>
      <c r="K230" t="s">
        <v>347</v>
      </c>
      <c r="L230" t="s">
        <v>289</v>
      </c>
      <c r="M230" t="s">
        <v>98</v>
      </c>
      <c r="N230" t="s">
        <v>438</v>
      </c>
      <c r="O230" t="s">
        <v>437</v>
      </c>
      <c r="P230">
        <v>201700228</v>
      </c>
    </row>
    <row r="231" spans="10:16">
      <c r="J231" t="s">
        <v>51</v>
      </c>
      <c r="K231" t="s">
        <v>347</v>
      </c>
      <c r="L231" t="s">
        <v>289</v>
      </c>
      <c r="M231" t="s">
        <v>98</v>
      </c>
      <c r="N231" t="s">
        <v>438</v>
      </c>
      <c r="O231" t="s">
        <v>437</v>
      </c>
      <c r="P231">
        <v>201700229</v>
      </c>
    </row>
    <row r="232" spans="10:16">
      <c r="J232" t="s">
        <v>355</v>
      </c>
      <c r="K232" t="s">
        <v>347</v>
      </c>
      <c r="L232" t="s">
        <v>289</v>
      </c>
      <c r="M232" t="s">
        <v>98</v>
      </c>
      <c r="N232" t="s">
        <v>438</v>
      </c>
      <c r="O232" t="s">
        <v>437</v>
      </c>
      <c r="P232">
        <v>201700230</v>
      </c>
    </row>
    <row r="233" spans="10:16">
      <c r="J233" t="s">
        <v>356</v>
      </c>
      <c r="K233" t="s">
        <v>347</v>
      </c>
      <c r="L233" t="s">
        <v>289</v>
      </c>
      <c r="M233" t="s">
        <v>98</v>
      </c>
      <c r="N233" t="s">
        <v>438</v>
      </c>
      <c r="O233" t="s">
        <v>437</v>
      </c>
      <c r="P233">
        <v>201700231</v>
      </c>
    </row>
    <row r="234" spans="10:16">
      <c r="J234" t="s">
        <v>357</v>
      </c>
      <c r="K234" t="s">
        <v>347</v>
      </c>
      <c r="L234" t="s">
        <v>289</v>
      </c>
      <c r="M234" t="s">
        <v>98</v>
      </c>
      <c r="N234" t="s">
        <v>438</v>
      </c>
      <c r="O234" t="s">
        <v>437</v>
      </c>
      <c r="P234">
        <v>201700232</v>
      </c>
    </row>
    <row r="235" spans="10:16">
      <c r="J235" t="s">
        <v>265</v>
      </c>
      <c r="K235" t="s">
        <v>347</v>
      </c>
      <c r="L235" t="s">
        <v>289</v>
      </c>
      <c r="M235" t="s">
        <v>98</v>
      </c>
      <c r="N235" t="s">
        <v>438</v>
      </c>
      <c r="O235" t="s">
        <v>437</v>
      </c>
      <c r="P235">
        <v>201700233</v>
      </c>
    </row>
    <row r="236" spans="10:16">
      <c r="J236" t="s">
        <v>358</v>
      </c>
      <c r="K236" t="s">
        <v>347</v>
      </c>
      <c r="L236" t="s">
        <v>289</v>
      </c>
      <c r="M236" t="s">
        <v>98</v>
      </c>
      <c r="N236" t="s">
        <v>438</v>
      </c>
      <c r="O236" t="s">
        <v>437</v>
      </c>
      <c r="P236">
        <v>201700234</v>
      </c>
    </row>
    <row r="237" spans="10:16">
      <c r="J237" t="s">
        <v>359</v>
      </c>
      <c r="K237" t="s">
        <v>347</v>
      </c>
      <c r="L237" t="s">
        <v>289</v>
      </c>
      <c r="M237" t="s">
        <v>98</v>
      </c>
      <c r="N237" t="s">
        <v>438</v>
      </c>
      <c r="O237" t="s">
        <v>437</v>
      </c>
      <c r="P237">
        <v>201700235</v>
      </c>
    </row>
    <row r="238" spans="10:16">
      <c r="J238" t="s">
        <v>360</v>
      </c>
      <c r="K238" t="s">
        <v>347</v>
      </c>
      <c r="L238" t="s">
        <v>289</v>
      </c>
      <c r="M238" t="s">
        <v>98</v>
      </c>
      <c r="N238" t="s">
        <v>438</v>
      </c>
      <c r="O238" t="s">
        <v>437</v>
      </c>
      <c r="P238">
        <v>201700236</v>
      </c>
    </row>
    <row r="239" spans="10:16">
      <c r="J239" t="s">
        <v>361</v>
      </c>
      <c r="K239" t="s">
        <v>347</v>
      </c>
      <c r="L239" t="s">
        <v>289</v>
      </c>
      <c r="M239" t="s">
        <v>98</v>
      </c>
      <c r="N239" t="s">
        <v>438</v>
      </c>
      <c r="O239" t="s">
        <v>437</v>
      </c>
      <c r="P239">
        <v>201700237</v>
      </c>
    </row>
    <row r="240" spans="10:16">
      <c r="J240" t="s">
        <v>362</v>
      </c>
      <c r="K240" t="s">
        <v>347</v>
      </c>
      <c r="L240" t="s">
        <v>289</v>
      </c>
      <c r="M240" t="s">
        <v>98</v>
      </c>
      <c r="N240" t="s">
        <v>438</v>
      </c>
      <c r="O240" t="s">
        <v>437</v>
      </c>
      <c r="P240">
        <v>201700238</v>
      </c>
    </row>
    <row r="241" spans="10:16">
      <c r="J241" t="s">
        <v>74</v>
      </c>
      <c r="K241" t="s">
        <v>347</v>
      </c>
      <c r="L241" t="s">
        <v>289</v>
      </c>
      <c r="M241" t="s">
        <v>98</v>
      </c>
      <c r="N241" t="s">
        <v>438</v>
      </c>
      <c r="O241" t="s">
        <v>437</v>
      </c>
      <c r="P241">
        <v>201700239</v>
      </c>
    </row>
    <row r="242" spans="10:16">
      <c r="J242" t="s">
        <v>75</v>
      </c>
      <c r="K242" t="s">
        <v>347</v>
      </c>
      <c r="L242" t="s">
        <v>289</v>
      </c>
      <c r="M242" t="s">
        <v>98</v>
      </c>
      <c r="N242" t="s">
        <v>438</v>
      </c>
      <c r="O242" t="s">
        <v>437</v>
      </c>
      <c r="P242">
        <v>201700240</v>
      </c>
    </row>
    <row r="243" spans="10:16">
      <c r="J243" t="s">
        <v>363</v>
      </c>
      <c r="K243" t="s">
        <v>49</v>
      </c>
      <c r="L243" t="s">
        <v>162</v>
      </c>
      <c r="M243" t="s">
        <v>98</v>
      </c>
      <c r="N243" t="s">
        <v>438</v>
      </c>
      <c r="O243" t="s">
        <v>437</v>
      </c>
      <c r="P243">
        <v>201700241</v>
      </c>
    </row>
    <row r="244" spans="10:16">
      <c r="J244" t="s">
        <v>364</v>
      </c>
      <c r="K244" t="s">
        <v>49</v>
      </c>
      <c r="L244" t="s">
        <v>162</v>
      </c>
      <c r="M244" t="s">
        <v>98</v>
      </c>
      <c r="N244" t="s">
        <v>438</v>
      </c>
      <c r="O244" t="s">
        <v>437</v>
      </c>
      <c r="P244">
        <v>201700242</v>
      </c>
    </row>
    <row r="245" spans="10:16">
      <c r="J245" t="s">
        <v>365</v>
      </c>
      <c r="K245" t="s">
        <v>49</v>
      </c>
      <c r="L245" t="s">
        <v>162</v>
      </c>
      <c r="M245" t="s">
        <v>98</v>
      </c>
      <c r="N245" t="s">
        <v>438</v>
      </c>
      <c r="O245" t="s">
        <v>437</v>
      </c>
      <c r="P245">
        <v>201700243</v>
      </c>
    </row>
    <row r="246" spans="10:16">
      <c r="J246" t="s">
        <v>366</v>
      </c>
      <c r="K246" t="s">
        <v>49</v>
      </c>
      <c r="L246" t="s">
        <v>162</v>
      </c>
      <c r="M246" t="s">
        <v>98</v>
      </c>
      <c r="N246" t="s">
        <v>438</v>
      </c>
      <c r="O246" t="s">
        <v>437</v>
      </c>
      <c r="P246">
        <v>201700244</v>
      </c>
    </row>
    <row r="247" spans="10:16">
      <c r="J247" t="s">
        <v>367</v>
      </c>
      <c r="K247" t="s">
        <v>49</v>
      </c>
      <c r="L247" t="s">
        <v>162</v>
      </c>
      <c r="M247" t="s">
        <v>98</v>
      </c>
      <c r="N247" t="s">
        <v>438</v>
      </c>
      <c r="O247" t="s">
        <v>437</v>
      </c>
      <c r="P247">
        <v>201700245</v>
      </c>
    </row>
    <row r="248" spans="10:16">
      <c r="J248" t="s">
        <v>368</v>
      </c>
      <c r="K248" t="s">
        <v>49</v>
      </c>
      <c r="L248" t="s">
        <v>162</v>
      </c>
      <c r="M248" t="s">
        <v>98</v>
      </c>
      <c r="N248" t="s">
        <v>438</v>
      </c>
      <c r="O248" t="s">
        <v>437</v>
      </c>
      <c r="P248">
        <v>201700246</v>
      </c>
    </row>
    <row r="249" spans="10:16">
      <c r="J249" t="s">
        <v>369</v>
      </c>
      <c r="K249" t="s">
        <v>49</v>
      </c>
      <c r="L249" t="s">
        <v>162</v>
      </c>
      <c r="M249" t="s">
        <v>98</v>
      </c>
      <c r="N249" t="s">
        <v>438</v>
      </c>
      <c r="O249" t="s">
        <v>437</v>
      </c>
      <c r="P249">
        <v>201700247</v>
      </c>
    </row>
    <row r="250" spans="10:16">
      <c r="J250" t="s">
        <v>370</v>
      </c>
      <c r="K250" t="s">
        <v>49</v>
      </c>
      <c r="L250" t="s">
        <v>162</v>
      </c>
      <c r="M250" t="s">
        <v>98</v>
      </c>
      <c r="N250" t="s">
        <v>438</v>
      </c>
      <c r="O250" t="s">
        <v>437</v>
      </c>
      <c r="P250">
        <v>201700248</v>
      </c>
    </row>
    <row r="251" spans="10:16">
      <c r="J251" t="s">
        <v>371</v>
      </c>
      <c r="K251" t="s">
        <v>49</v>
      </c>
      <c r="L251" t="s">
        <v>162</v>
      </c>
      <c r="M251" t="s">
        <v>98</v>
      </c>
      <c r="N251" t="s">
        <v>438</v>
      </c>
      <c r="O251" t="s">
        <v>437</v>
      </c>
      <c r="P251">
        <v>201700249</v>
      </c>
    </row>
    <row r="252" spans="10:16">
      <c r="J252" t="s">
        <v>372</v>
      </c>
      <c r="K252" t="s">
        <v>49</v>
      </c>
      <c r="L252" t="s">
        <v>162</v>
      </c>
      <c r="M252" t="s">
        <v>98</v>
      </c>
      <c r="N252" t="s">
        <v>438</v>
      </c>
      <c r="O252" t="s">
        <v>437</v>
      </c>
      <c r="P252">
        <v>201700250</v>
      </c>
    </row>
    <row r="253" spans="10:16">
      <c r="J253" t="s">
        <v>373</v>
      </c>
      <c r="K253" t="s">
        <v>49</v>
      </c>
      <c r="L253" t="s">
        <v>162</v>
      </c>
      <c r="M253" t="s">
        <v>98</v>
      </c>
      <c r="N253" t="s">
        <v>438</v>
      </c>
      <c r="O253" t="s">
        <v>437</v>
      </c>
      <c r="P253">
        <v>201700251</v>
      </c>
    </row>
    <row r="254" spans="10:16">
      <c r="J254" t="s">
        <v>374</v>
      </c>
      <c r="K254" t="s">
        <v>49</v>
      </c>
      <c r="L254" t="s">
        <v>162</v>
      </c>
      <c r="M254" t="s">
        <v>98</v>
      </c>
      <c r="N254" t="s">
        <v>438</v>
      </c>
      <c r="O254" t="s">
        <v>437</v>
      </c>
      <c r="P254">
        <v>201700252</v>
      </c>
    </row>
    <row r="255" spans="10:16">
      <c r="J255" t="s">
        <v>375</v>
      </c>
      <c r="K255" t="s">
        <v>49</v>
      </c>
      <c r="L255" t="s">
        <v>162</v>
      </c>
      <c r="M255" t="s">
        <v>98</v>
      </c>
      <c r="N255" t="s">
        <v>438</v>
      </c>
      <c r="O255" t="s">
        <v>437</v>
      </c>
      <c r="P255">
        <v>201700253</v>
      </c>
    </row>
    <row r="256" spans="10:16">
      <c r="J256" t="s">
        <v>376</v>
      </c>
      <c r="K256" t="s">
        <v>49</v>
      </c>
      <c r="L256" t="s">
        <v>162</v>
      </c>
      <c r="M256" t="s">
        <v>98</v>
      </c>
      <c r="N256" t="s">
        <v>438</v>
      </c>
      <c r="O256" t="s">
        <v>437</v>
      </c>
      <c r="P256">
        <v>201700254</v>
      </c>
    </row>
    <row r="257" spans="10:16">
      <c r="J257" t="s">
        <v>377</v>
      </c>
      <c r="K257" t="s">
        <v>49</v>
      </c>
      <c r="L257" t="s">
        <v>162</v>
      </c>
      <c r="M257" t="s">
        <v>98</v>
      </c>
      <c r="N257" t="s">
        <v>438</v>
      </c>
      <c r="O257" t="s">
        <v>437</v>
      </c>
      <c r="P257">
        <v>201700255</v>
      </c>
    </row>
    <row r="258" spans="10:16">
      <c r="J258" t="s">
        <v>378</v>
      </c>
      <c r="K258" t="s">
        <v>49</v>
      </c>
      <c r="L258" t="s">
        <v>162</v>
      </c>
      <c r="M258" t="s">
        <v>98</v>
      </c>
      <c r="N258" t="s">
        <v>438</v>
      </c>
      <c r="O258" t="s">
        <v>437</v>
      </c>
      <c r="P258">
        <v>201700256</v>
      </c>
    </row>
    <row r="259" spans="10:16">
      <c r="J259" t="s">
        <v>379</v>
      </c>
      <c r="K259" t="s">
        <v>49</v>
      </c>
      <c r="L259" t="s">
        <v>162</v>
      </c>
      <c r="M259" t="s">
        <v>98</v>
      </c>
      <c r="N259" t="s">
        <v>438</v>
      </c>
      <c r="O259" t="s">
        <v>437</v>
      </c>
      <c r="P259">
        <v>201700257</v>
      </c>
    </row>
    <row r="260" spans="10:16">
      <c r="J260" t="s">
        <v>380</v>
      </c>
      <c r="K260" t="s">
        <v>49</v>
      </c>
      <c r="L260" t="s">
        <v>162</v>
      </c>
      <c r="M260" t="s">
        <v>98</v>
      </c>
      <c r="N260" t="s">
        <v>438</v>
      </c>
      <c r="O260" t="s">
        <v>437</v>
      </c>
      <c r="P260">
        <v>201700258</v>
      </c>
    </row>
    <row r="261" spans="10:16">
      <c r="J261" t="s">
        <v>381</v>
      </c>
      <c r="K261" t="s">
        <v>49</v>
      </c>
      <c r="L261" t="s">
        <v>162</v>
      </c>
      <c r="M261" t="s">
        <v>98</v>
      </c>
      <c r="N261" t="s">
        <v>438</v>
      </c>
      <c r="O261" t="s">
        <v>437</v>
      </c>
      <c r="P261">
        <v>201700259</v>
      </c>
    </row>
    <row r="262" spans="10:16">
      <c r="J262" t="s">
        <v>382</v>
      </c>
      <c r="K262" t="s">
        <v>49</v>
      </c>
      <c r="L262" t="s">
        <v>162</v>
      </c>
      <c r="M262" t="s">
        <v>98</v>
      </c>
      <c r="N262" t="s">
        <v>438</v>
      </c>
      <c r="O262" t="s">
        <v>437</v>
      </c>
      <c r="P262">
        <v>201700260</v>
      </c>
    </row>
    <row r="263" spans="10:16">
      <c r="J263" t="s">
        <v>383</v>
      </c>
      <c r="K263" t="s">
        <v>49</v>
      </c>
      <c r="L263" t="s">
        <v>162</v>
      </c>
      <c r="M263" t="s">
        <v>98</v>
      </c>
      <c r="N263" t="s">
        <v>438</v>
      </c>
      <c r="O263" t="s">
        <v>437</v>
      </c>
      <c r="P263">
        <v>201700261</v>
      </c>
    </row>
    <row r="264" spans="10:16">
      <c r="J264" t="s">
        <v>384</v>
      </c>
      <c r="K264" t="s">
        <v>49</v>
      </c>
      <c r="L264" t="s">
        <v>162</v>
      </c>
      <c r="M264" t="s">
        <v>98</v>
      </c>
      <c r="N264" t="s">
        <v>438</v>
      </c>
      <c r="O264" t="s">
        <v>437</v>
      </c>
      <c r="P264">
        <v>201700262</v>
      </c>
    </row>
    <row r="265" spans="10:16">
      <c r="J265" t="s">
        <v>385</v>
      </c>
      <c r="K265" t="s">
        <v>49</v>
      </c>
      <c r="L265" t="s">
        <v>162</v>
      </c>
      <c r="M265" t="s">
        <v>98</v>
      </c>
      <c r="N265" t="s">
        <v>438</v>
      </c>
      <c r="O265" t="s">
        <v>437</v>
      </c>
      <c r="P265">
        <v>201700263</v>
      </c>
    </row>
    <row r="266" spans="10:16">
      <c r="J266" t="s">
        <v>386</v>
      </c>
      <c r="K266" t="s">
        <v>49</v>
      </c>
      <c r="L266" t="s">
        <v>162</v>
      </c>
      <c r="M266" t="s">
        <v>98</v>
      </c>
      <c r="N266" t="s">
        <v>438</v>
      </c>
      <c r="O266" t="s">
        <v>437</v>
      </c>
      <c r="P266">
        <v>201700264</v>
      </c>
    </row>
    <row r="267" spans="10:16">
      <c r="J267" t="s">
        <v>387</v>
      </c>
      <c r="K267" t="s">
        <v>49</v>
      </c>
      <c r="L267" t="s">
        <v>162</v>
      </c>
      <c r="M267" t="s">
        <v>98</v>
      </c>
      <c r="N267" t="s">
        <v>438</v>
      </c>
      <c r="O267" t="s">
        <v>437</v>
      </c>
      <c r="P267">
        <v>201700265</v>
      </c>
    </row>
    <row r="268" spans="10:16">
      <c r="J268" t="s">
        <v>388</v>
      </c>
      <c r="K268" t="s">
        <v>49</v>
      </c>
      <c r="L268" t="s">
        <v>162</v>
      </c>
      <c r="M268" t="s">
        <v>98</v>
      </c>
      <c r="N268" t="s">
        <v>438</v>
      </c>
      <c r="O268" t="s">
        <v>437</v>
      </c>
      <c r="P268">
        <v>201700266</v>
      </c>
    </row>
    <row r="269" spans="10:16">
      <c r="J269" t="s">
        <v>389</v>
      </c>
      <c r="K269" t="s">
        <v>49</v>
      </c>
      <c r="L269" t="s">
        <v>162</v>
      </c>
      <c r="M269" t="s">
        <v>98</v>
      </c>
      <c r="N269" t="s">
        <v>438</v>
      </c>
      <c r="O269" t="s">
        <v>437</v>
      </c>
      <c r="P269">
        <v>201700267</v>
      </c>
    </row>
    <row r="270" spans="10:16">
      <c r="J270" t="s">
        <v>390</v>
      </c>
      <c r="K270" t="s">
        <v>49</v>
      </c>
      <c r="L270" t="s">
        <v>162</v>
      </c>
      <c r="M270" t="s">
        <v>98</v>
      </c>
      <c r="N270" t="s">
        <v>438</v>
      </c>
      <c r="O270" t="s">
        <v>437</v>
      </c>
      <c r="P270">
        <v>201700268</v>
      </c>
    </row>
    <row r="271" spans="10:16">
      <c r="J271" t="s">
        <v>391</v>
      </c>
      <c r="K271" t="s">
        <v>49</v>
      </c>
      <c r="L271" t="s">
        <v>162</v>
      </c>
      <c r="M271" t="s">
        <v>98</v>
      </c>
      <c r="N271" t="s">
        <v>438</v>
      </c>
      <c r="O271" t="s">
        <v>437</v>
      </c>
      <c r="P271">
        <v>201700269</v>
      </c>
    </row>
    <row r="272" spans="10:16">
      <c r="J272" t="s">
        <v>392</v>
      </c>
      <c r="K272" t="s">
        <v>49</v>
      </c>
      <c r="L272" t="s">
        <v>162</v>
      </c>
      <c r="M272" t="s">
        <v>98</v>
      </c>
      <c r="N272" t="s">
        <v>438</v>
      </c>
      <c r="O272" t="s">
        <v>437</v>
      </c>
      <c r="P272">
        <v>201700270</v>
      </c>
    </row>
    <row r="273" spans="10:16">
      <c r="J273" t="s">
        <v>393</v>
      </c>
      <c r="K273" t="s">
        <v>49</v>
      </c>
      <c r="L273" t="s">
        <v>162</v>
      </c>
      <c r="M273" t="s">
        <v>98</v>
      </c>
      <c r="N273" t="s">
        <v>438</v>
      </c>
      <c r="O273" t="s">
        <v>437</v>
      </c>
      <c r="P273">
        <v>201700271</v>
      </c>
    </row>
    <row r="274" spans="10:16">
      <c r="J274" t="s">
        <v>323</v>
      </c>
      <c r="K274" t="s">
        <v>394</v>
      </c>
      <c r="L274" t="s">
        <v>162</v>
      </c>
      <c r="M274" t="s">
        <v>98</v>
      </c>
      <c r="N274" t="s">
        <v>438</v>
      </c>
      <c r="O274" t="s">
        <v>437</v>
      </c>
      <c r="P274">
        <v>201700272</v>
      </c>
    </row>
    <row r="275" spans="10:16">
      <c r="J275" t="s">
        <v>77</v>
      </c>
      <c r="K275" t="s">
        <v>394</v>
      </c>
      <c r="L275" t="s">
        <v>162</v>
      </c>
      <c r="M275" t="s">
        <v>98</v>
      </c>
      <c r="N275" t="s">
        <v>438</v>
      </c>
      <c r="O275" t="s">
        <v>437</v>
      </c>
      <c r="P275">
        <v>201700273</v>
      </c>
    </row>
    <row r="276" spans="10:16">
      <c r="J276" t="s">
        <v>395</v>
      </c>
      <c r="K276" t="s">
        <v>394</v>
      </c>
      <c r="L276" t="s">
        <v>162</v>
      </c>
      <c r="M276" t="s">
        <v>98</v>
      </c>
      <c r="N276" t="s">
        <v>438</v>
      </c>
      <c r="O276" t="s">
        <v>437</v>
      </c>
      <c r="P276">
        <v>201700274</v>
      </c>
    </row>
    <row r="277" spans="10:16">
      <c r="J277" t="s">
        <v>396</v>
      </c>
      <c r="K277" t="s">
        <v>394</v>
      </c>
      <c r="L277" t="s">
        <v>162</v>
      </c>
      <c r="M277" t="s">
        <v>98</v>
      </c>
      <c r="N277" t="s">
        <v>438</v>
      </c>
      <c r="O277" t="s">
        <v>437</v>
      </c>
      <c r="P277">
        <v>201700275</v>
      </c>
    </row>
    <row r="278" spans="10:16">
      <c r="J278" t="s">
        <v>397</v>
      </c>
      <c r="K278" t="s">
        <v>394</v>
      </c>
      <c r="L278" t="s">
        <v>162</v>
      </c>
      <c r="M278" t="s">
        <v>98</v>
      </c>
      <c r="N278" t="s">
        <v>438</v>
      </c>
      <c r="O278" t="s">
        <v>437</v>
      </c>
      <c r="P278">
        <v>201700276</v>
      </c>
    </row>
    <row r="279" spans="10:16">
      <c r="J279" t="s">
        <v>88</v>
      </c>
      <c r="K279" t="s">
        <v>394</v>
      </c>
      <c r="L279" t="s">
        <v>162</v>
      </c>
      <c r="M279" t="s">
        <v>98</v>
      </c>
      <c r="N279" t="s">
        <v>438</v>
      </c>
      <c r="O279" t="s">
        <v>437</v>
      </c>
      <c r="P279">
        <v>201700277</v>
      </c>
    </row>
    <row r="280" spans="10:16">
      <c r="J280" t="s">
        <v>354</v>
      </c>
      <c r="K280" t="s">
        <v>394</v>
      </c>
      <c r="L280" t="s">
        <v>162</v>
      </c>
      <c r="M280" t="s">
        <v>98</v>
      </c>
      <c r="N280" t="s">
        <v>438</v>
      </c>
      <c r="O280" t="s">
        <v>437</v>
      </c>
      <c r="P280">
        <v>201700278</v>
      </c>
    </row>
    <row r="281" spans="10:16">
      <c r="J281" t="s">
        <v>290</v>
      </c>
      <c r="K281" t="s">
        <v>394</v>
      </c>
      <c r="L281" t="s">
        <v>162</v>
      </c>
      <c r="M281" t="s">
        <v>98</v>
      </c>
      <c r="N281" t="s">
        <v>438</v>
      </c>
      <c r="O281" t="s">
        <v>437</v>
      </c>
      <c r="P281">
        <v>201700279</v>
      </c>
    </row>
    <row r="282" spans="10:16">
      <c r="J282" t="s">
        <v>398</v>
      </c>
      <c r="K282" t="s">
        <v>394</v>
      </c>
      <c r="L282" t="s">
        <v>162</v>
      </c>
      <c r="M282" t="s">
        <v>98</v>
      </c>
      <c r="N282" t="s">
        <v>438</v>
      </c>
      <c r="O282" t="s">
        <v>437</v>
      </c>
      <c r="P282">
        <v>201700280</v>
      </c>
    </row>
    <row r="283" spans="10:16">
      <c r="J283" t="s">
        <v>399</v>
      </c>
      <c r="K283" t="s">
        <v>394</v>
      </c>
      <c r="L283" t="s">
        <v>162</v>
      </c>
      <c r="M283" t="s">
        <v>98</v>
      </c>
      <c r="N283" t="s">
        <v>438</v>
      </c>
      <c r="O283" t="s">
        <v>437</v>
      </c>
      <c r="P283">
        <v>201700281</v>
      </c>
    </row>
    <row r="284" spans="10:16">
      <c r="J284" t="s">
        <v>400</v>
      </c>
      <c r="K284" t="s">
        <v>394</v>
      </c>
      <c r="L284" t="s">
        <v>162</v>
      </c>
      <c r="M284" t="s">
        <v>98</v>
      </c>
      <c r="N284" t="s">
        <v>438</v>
      </c>
      <c r="O284" t="s">
        <v>437</v>
      </c>
      <c r="P284">
        <v>201700282</v>
      </c>
    </row>
    <row r="285" spans="10:16">
      <c r="J285" t="s">
        <v>401</v>
      </c>
      <c r="K285" t="s">
        <v>394</v>
      </c>
      <c r="L285" t="s">
        <v>162</v>
      </c>
      <c r="M285" t="s">
        <v>98</v>
      </c>
      <c r="N285" t="s">
        <v>438</v>
      </c>
      <c r="O285" t="s">
        <v>437</v>
      </c>
      <c r="P285">
        <v>201700283</v>
      </c>
    </row>
    <row r="286" spans="10:16">
      <c r="J286" t="s">
        <v>402</v>
      </c>
      <c r="K286" t="s">
        <v>394</v>
      </c>
      <c r="L286" t="s">
        <v>162</v>
      </c>
      <c r="M286" t="s">
        <v>98</v>
      </c>
      <c r="N286" t="s">
        <v>438</v>
      </c>
      <c r="O286" t="s">
        <v>437</v>
      </c>
      <c r="P286">
        <v>201700284</v>
      </c>
    </row>
    <row r="287" spans="10:16">
      <c r="J287" t="s">
        <v>403</v>
      </c>
      <c r="K287" t="s">
        <v>394</v>
      </c>
      <c r="L287" t="s">
        <v>162</v>
      </c>
      <c r="M287" t="s">
        <v>98</v>
      </c>
      <c r="N287" t="s">
        <v>438</v>
      </c>
      <c r="O287" t="s">
        <v>437</v>
      </c>
      <c r="P287">
        <v>201700285</v>
      </c>
    </row>
    <row r="288" spans="10:16">
      <c r="J288" t="s">
        <v>343</v>
      </c>
      <c r="K288" t="s">
        <v>394</v>
      </c>
      <c r="L288" t="s">
        <v>162</v>
      </c>
      <c r="M288" t="s">
        <v>98</v>
      </c>
      <c r="N288" t="s">
        <v>438</v>
      </c>
      <c r="O288" t="s">
        <v>437</v>
      </c>
      <c r="P288">
        <v>201700286</v>
      </c>
    </row>
    <row r="289" spans="10:16">
      <c r="J289" t="s">
        <v>404</v>
      </c>
      <c r="K289" t="s">
        <v>394</v>
      </c>
      <c r="L289" t="s">
        <v>162</v>
      </c>
      <c r="M289" t="s">
        <v>98</v>
      </c>
      <c r="N289" t="s">
        <v>438</v>
      </c>
      <c r="O289" t="s">
        <v>437</v>
      </c>
      <c r="P289">
        <v>201700287</v>
      </c>
    </row>
    <row r="290" spans="10:16">
      <c r="J290" t="s">
        <v>405</v>
      </c>
      <c r="K290" t="s">
        <v>394</v>
      </c>
      <c r="L290" t="s">
        <v>162</v>
      </c>
      <c r="M290" t="s">
        <v>98</v>
      </c>
      <c r="N290" t="s">
        <v>438</v>
      </c>
      <c r="O290" t="s">
        <v>437</v>
      </c>
      <c r="P290">
        <v>201700288</v>
      </c>
    </row>
    <row r="291" spans="10:16">
      <c r="J291" t="s">
        <v>406</v>
      </c>
      <c r="K291" t="s">
        <v>394</v>
      </c>
      <c r="L291" t="s">
        <v>162</v>
      </c>
      <c r="M291" t="s">
        <v>98</v>
      </c>
      <c r="N291" t="s">
        <v>438</v>
      </c>
      <c r="O291" t="s">
        <v>437</v>
      </c>
      <c r="P291">
        <v>201700289</v>
      </c>
    </row>
    <row r="292" spans="10:16">
      <c r="J292" t="s">
        <v>407</v>
      </c>
      <c r="K292" t="s">
        <v>394</v>
      </c>
      <c r="L292" t="s">
        <v>162</v>
      </c>
      <c r="M292" t="s">
        <v>98</v>
      </c>
      <c r="N292" t="s">
        <v>438</v>
      </c>
      <c r="O292" t="s">
        <v>437</v>
      </c>
      <c r="P292">
        <v>201700290</v>
      </c>
    </row>
    <row r="293" spans="10:16">
      <c r="J293" t="s">
        <v>408</v>
      </c>
      <c r="K293" t="s">
        <v>394</v>
      </c>
      <c r="L293" t="s">
        <v>162</v>
      </c>
      <c r="M293" t="s">
        <v>98</v>
      </c>
      <c r="N293" t="s">
        <v>438</v>
      </c>
      <c r="O293" t="s">
        <v>437</v>
      </c>
      <c r="P293">
        <v>201700291</v>
      </c>
    </row>
    <row r="294" spans="10:16">
      <c r="J294" t="s">
        <v>409</v>
      </c>
      <c r="K294" t="s">
        <v>394</v>
      </c>
      <c r="L294" t="s">
        <v>162</v>
      </c>
      <c r="M294" t="s">
        <v>98</v>
      </c>
      <c r="N294" t="s">
        <v>438</v>
      </c>
      <c r="O294" t="s">
        <v>437</v>
      </c>
      <c r="P294">
        <v>201700292</v>
      </c>
    </row>
    <row r="295" spans="10:16">
      <c r="J295" t="s">
        <v>410</v>
      </c>
      <c r="K295" t="s">
        <v>394</v>
      </c>
      <c r="L295" t="s">
        <v>162</v>
      </c>
      <c r="M295" t="s">
        <v>98</v>
      </c>
      <c r="N295" t="s">
        <v>438</v>
      </c>
      <c r="O295" t="s">
        <v>437</v>
      </c>
      <c r="P295">
        <v>201700293</v>
      </c>
    </row>
    <row r="296" spans="10:16">
      <c r="J296" t="s">
        <v>411</v>
      </c>
      <c r="K296" t="s">
        <v>394</v>
      </c>
      <c r="L296" t="s">
        <v>162</v>
      </c>
      <c r="M296" t="s">
        <v>98</v>
      </c>
      <c r="N296" t="s">
        <v>438</v>
      </c>
      <c r="O296" t="s">
        <v>437</v>
      </c>
      <c r="P296">
        <v>201700294</v>
      </c>
    </row>
    <row r="297" spans="10:16">
      <c r="J297" t="s">
        <v>360</v>
      </c>
      <c r="K297" t="s">
        <v>394</v>
      </c>
      <c r="L297" t="s">
        <v>162</v>
      </c>
      <c r="M297" t="s">
        <v>98</v>
      </c>
      <c r="N297" t="s">
        <v>438</v>
      </c>
      <c r="O297" t="s">
        <v>437</v>
      </c>
      <c r="P297">
        <v>201700295</v>
      </c>
    </row>
    <row r="298" spans="10:16">
      <c r="J298" t="s">
        <v>412</v>
      </c>
      <c r="K298" t="s">
        <v>394</v>
      </c>
      <c r="L298" t="s">
        <v>162</v>
      </c>
      <c r="M298" t="s">
        <v>98</v>
      </c>
      <c r="N298" t="s">
        <v>438</v>
      </c>
      <c r="O298" t="s">
        <v>437</v>
      </c>
      <c r="P298">
        <v>201700296</v>
      </c>
    </row>
    <row r="299" spans="10:16">
      <c r="J299" t="s">
        <v>285</v>
      </c>
      <c r="K299" t="s">
        <v>394</v>
      </c>
      <c r="L299" t="s">
        <v>162</v>
      </c>
      <c r="M299" t="s">
        <v>98</v>
      </c>
      <c r="N299" t="s">
        <v>438</v>
      </c>
      <c r="O299" t="s">
        <v>437</v>
      </c>
      <c r="P299">
        <v>201700297</v>
      </c>
    </row>
    <row r="300" spans="10:16">
      <c r="J300" t="s">
        <v>41</v>
      </c>
      <c r="K300" t="s">
        <v>394</v>
      </c>
      <c r="L300" t="s">
        <v>162</v>
      </c>
      <c r="M300" t="s">
        <v>98</v>
      </c>
      <c r="N300" t="s">
        <v>438</v>
      </c>
      <c r="O300" t="s">
        <v>437</v>
      </c>
      <c r="P300">
        <v>201700298</v>
      </c>
    </row>
    <row r="301" spans="10:16">
      <c r="J301" t="s">
        <v>413</v>
      </c>
      <c r="K301" t="s">
        <v>394</v>
      </c>
      <c r="L301" t="s">
        <v>162</v>
      </c>
      <c r="M301" t="s">
        <v>98</v>
      </c>
      <c r="N301" t="s">
        <v>438</v>
      </c>
      <c r="O301" t="s">
        <v>437</v>
      </c>
      <c r="P301">
        <v>201700299</v>
      </c>
    </row>
    <row r="302" spans="10:16">
      <c r="J302" t="s">
        <v>80</v>
      </c>
      <c r="K302" t="s">
        <v>394</v>
      </c>
      <c r="L302" t="s">
        <v>162</v>
      </c>
      <c r="M302" t="s">
        <v>98</v>
      </c>
      <c r="N302" t="s">
        <v>438</v>
      </c>
      <c r="O302" t="s">
        <v>437</v>
      </c>
      <c r="P302">
        <v>201700300</v>
      </c>
    </row>
    <row r="303" spans="10:16">
      <c r="J303" t="s">
        <v>414</v>
      </c>
      <c r="K303" t="s">
        <v>394</v>
      </c>
      <c r="L303" t="s">
        <v>162</v>
      </c>
      <c r="M303" t="s">
        <v>98</v>
      </c>
      <c r="N303" t="s">
        <v>438</v>
      </c>
      <c r="O303" t="s">
        <v>437</v>
      </c>
      <c r="P303">
        <v>201700301</v>
      </c>
    </row>
    <row r="304" spans="10:16">
      <c r="J304" t="s">
        <v>415</v>
      </c>
      <c r="K304" t="s">
        <v>394</v>
      </c>
      <c r="L304" t="s">
        <v>162</v>
      </c>
      <c r="M304" t="s">
        <v>98</v>
      </c>
      <c r="N304" t="s">
        <v>438</v>
      </c>
      <c r="O304" t="s">
        <v>437</v>
      </c>
      <c r="P304">
        <v>201700302</v>
      </c>
    </row>
    <row r="305" spans="10:16">
      <c r="J305" t="s">
        <v>416</v>
      </c>
      <c r="K305" t="s">
        <v>394</v>
      </c>
      <c r="L305" t="s">
        <v>162</v>
      </c>
      <c r="M305" t="s">
        <v>98</v>
      </c>
      <c r="N305" t="s">
        <v>438</v>
      </c>
      <c r="O305" t="s">
        <v>437</v>
      </c>
      <c r="P305">
        <v>201700303</v>
      </c>
    </row>
    <row r="306" spans="10:16">
      <c r="J306" t="s">
        <v>417</v>
      </c>
      <c r="K306" t="s">
        <v>394</v>
      </c>
      <c r="L306" t="s">
        <v>162</v>
      </c>
      <c r="M306" t="s">
        <v>98</v>
      </c>
      <c r="N306" t="s">
        <v>438</v>
      </c>
      <c r="O306" t="s">
        <v>437</v>
      </c>
      <c r="P306">
        <v>201700304</v>
      </c>
    </row>
    <row r="307" spans="10:16">
      <c r="J307" t="s">
        <v>418</v>
      </c>
      <c r="K307" t="s">
        <v>394</v>
      </c>
      <c r="L307" t="s">
        <v>162</v>
      </c>
      <c r="M307" t="s">
        <v>98</v>
      </c>
      <c r="N307" t="s">
        <v>438</v>
      </c>
      <c r="O307" t="s">
        <v>437</v>
      </c>
      <c r="P307">
        <v>201700305</v>
      </c>
    </row>
    <row r="308" spans="10:16">
      <c r="J308" t="s">
        <v>419</v>
      </c>
      <c r="K308" t="s">
        <v>394</v>
      </c>
      <c r="L308" t="s">
        <v>162</v>
      </c>
      <c r="M308" t="s">
        <v>98</v>
      </c>
      <c r="N308" t="s">
        <v>438</v>
      </c>
      <c r="O308" t="s">
        <v>437</v>
      </c>
      <c r="P308">
        <v>201700306</v>
      </c>
    </row>
    <row r="309" spans="10:16">
      <c r="J309" t="s">
        <v>420</v>
      </c>
      <c r="K309" t="s">
        <v>394</v>
      </c>
      <c r="L309" t="s">
        <v>162</v>
      </c>
      <c r="M309" t="s">
        <v>98</v>
      </c>
      <c r="N309" t="s">
        <v>438</v>
      </c>
      <c r="O309" t="s">
        <v>437</v>
      </c>
      <c r="P309">
        <v>201700307</v>
      </c>
    </row>
    <row r="310" spans="10:16">
      <c r="J310" t="s">
        <v>291</v>
      </c>
      <c r="K310" t="s">
        <v>394</v>
      </c>
      <c r="L310" t="s">
        <v>162</v>
      </c>
      <c r="M310" t="s">
        <v>98</v>
      </c>
      <c r="N310" t="s">
        <v>438</v>
      </c>
      <c r="O310" t="s">
        <v>437</v>
      </c>
      <c r="P310">
        <v>201700308</v>
      </c>
    </row>
    <row r="311" spans="10:16">
      <c r="J311" t="s">
        <v>59</v>
      </c>
      <c r="K311" t="s">
        <v>347</v>
      </c>
      <c r="L311" t="s">
        <v>289</v>
      </c>
      <c r="M311" t="s">
        <v>98</v>
      </c>
      <c r="N311" t="s">
        <v>438</v>
      </c>
      <c r="O311" t="s">
        <v>437</v>
      </c>
      <c r="P311">
        <v>201700309</v>
      </c>
    </row>
    <row r="312" spans="10:16">
      <c r="J312" t="s">
        <v>68</v>
      </c>
      <c r="K312" t="s">
        <v>347</v>
      </c>
      <c r="L312" t="s">
        <v>289</v>
      </c>
      <c r="M312" t="s">
        <v>98</v>
      </c>
      <c r="N312" t="s">
        <v>438</v>
      </c>
      <c r="O312" t="s">
        <v>437</v>
      </c>
      <c r="P312">
        <v>201700310</v>
      </c>
    </row>
    <row r="313" spans="10:16">
      <c r="J313" t="s">
        <v>421</v>
      </c>
      <c r="K313" t="s">
        <v>347</v>
      </c>
      <c r="L313" t="s">
        <v>289</v>
      </c>
      <c r="M313" t="s">
        <v>98</v>
      </c>
      <c r="N313" t="s">
        <v>438</v>
      </c>
      <c r="O313" t="s">
        <v>437</v>
      </c>
      <c r="P313">
        <v>201700311</v>
      </c>
    </row>
    <row r="314" spans="10:16">
      <c r="J314" t="s">
        <v>422</v>
      </c>
      <c r="K314" t="s">
        <v>347</v>
      </c>
      <c r="L314" t="s">
        <v>289</v>
      </c>
      <c r="M314" t="s">
        <v>98</v>
      </c>
      <c r="N314" t="s">
        <v>438</v>
      </c>
      <c r="O314" t="s">
        <v>437</v>
      </c>
      <c r="P314">
        <v>201700312</v>
      </c>
    </row>
    <row r="315" spans="10:16">
      <c r="J315" t="s">
        <v>423</v>
      </c>
      <c r="K315" t="s">
        <v>347</v>
      </c>
      <c r="L315" t="s">
        <v>289</v>
      </c>
      <c r="M315" t="s">
        <v>98</v>
      </c>
      <c r="N315" t="s">
        <v>438</v>
      </c>
      <c r="O315" t="s">
        <v>437</v>
      </c>
      <c r="P315">
        <v>201700313</v>
      </c>
    </row>
    <row r="316" spans="10:16">
      <c r="J316" t="s">
        <v>424</v>
      </c>
      <c r="K316" t="s">
        <v>347</v>
      </c>
      <c r="L316" t="s">
        <v>289</v>
      </c>
      <c r="M316" t="s">
        <v>98</v>
      </c>
      <c r="N316" t="s">
        <v>438</v>
      </c>
      <c r="O316" t="s">
        <v>437</v>
      </c>
      <c r="P316">
        <v>201700314</v>
      </c>
    </row>
    <row r="317" spans="10:16">
      <c r="J317" t="s">
        <v>362</v>
      </c>
      <c r="K317" t="s">
        <v>347</v>
      </c>
      <c r="L317" t="s">
        <v>289</v>
      </c>
      <c r="M317" t="s">
        <v>98</v>
      </c>
      <c r="N317" t="s">
        <v>438</v>
      </c>
      <c r="O317" t="s">
        <v>437</v>
      </c>
      <c r="P317">
        <v>201700315</v>
      </c>
    </row>
    <row r="318" spans="10:16">
      <c r="J318" t="s">
        <v>425</v>
      </c>
      <c r="K318" t="s">
        <v>347</v>
      </c>
      <c r="L318" t="s">
        <v>289</v>
      </c>
      <c r="M318" t="s">
        <v>98</v>
      </c>
      <c r="N318" t="s">
        <v>438</v>
      </c>
      <c r="O318" t="s">
        <v>437</v>
      </c>
      <c r="P318">
        <v>201700316</v>
      </c>
    </row>
    <row r="319" spans="10:16">
      <c r="J319" t="s">
        <v>426</v>
      </c>
      <c r="K319" t="s">
        <v>347</v>
      </c>
      <c r="L319" t="s">
        <v>289</v>
      </c>
      <c r="M319" t="s">
        <v>98</v>
      </c>
      <c r="N319" t="s">
        <v>438</v>
      </c>
      <c r="O319" t="s">
        <v>437</v>
      </c>
      <c r="P319">
        <v>201700317</v>
      </c>
    </row>
    <row r="320" spans="10:16">
      <c r="J320" t="s">
        <v>51</v>
      </c>
      <c r="K320" t="s">
        <v>347</v>
      </c>
      <c r="L320" t="s">
        <v>289</v>
      </c>
      <c r="M320" t="s">
        <v>98</v>
      </c>
      <c r="N320" t="s">
        <v>438</v>
      </c>
      <c r="O320" t="s">
        <v>437</v>
      </c>
      <c r="P320">
        <v>201700318</v>
      </c>
    </row>
    <row r="321" spans="10:16">
      <c r="J321" t="s">
        <v>427</v>
      </c>
      <c r="K321" t="s">
        <v>347</v>
      </c>
      <c r="L321" t="s">
        <v>289</v>
      </c>
      <c r="M321" t="s">
        <v>98</v>
      </c>
      <c r="N321" t="s">
        <v>438</v>
      </c>
      <c r="O321" t="s">
        <v>437</v>
      </c>
      <c r="P321">
        <v>201700319</v>
      </c>
    </row>
    <row r="322" spans="10:16">
      <c r="J322" t="s">
        <v>428</v>
      </c>
      <c r="K322" t="s">
        <v>347</v>
      </c>
      <c r="L322" t="s">
        <v>289</v>
      </c>
      <c r="M322" t="s">
        <v>98</v>
      </c>
      <c r="N322" t="s">
        <v>438</v>
      </c>
      <c r="O322" t="s">
        <v>437</v>
      </c>
      <c r="P322">
        <v>201700320</v>
      </c>
    </row>
    <row r="323" spans="10:16">
      <c r="J323" t="s">
        <v>429</v>
      </c>
      <c r="K323" t="s">
        <v>347</v>
      </c>
      <c r="L323" t="s">
        <v>289</v>
      </c>
      <c r="M323" t="s">
        <v>98</v>
      </c>
      <c r="N323" t="s">
        <v>438</v>
      </c>
      <c r="O323" t="s">
        <v>437</v>
      </c>
      <c r="P323">
        <v>201700321</v>
      </c>
    </row>
    <row r="324" spans="10:16">
      <c r="J324" t="s">
        <v>418</v>
      </c>
      <c r="K324" t="s">
        <v>347</v>
      </c>
      <c r="L324" t="s">
        <v>289</v>
      </c>
      <c r="M324" t="s">
        <v>98</v>
      </c>
      <c r="N324" t="s">
        <v>438</v>
      </c>
      <c r="O324" t="s">
        <v>437</v>
      </c>
      <c r="P324">
        <v>201700322</v>
      </c>
    </row>
    <row r="325" spans="10:16">
      <c r="J325" t="s">
        <v>353</v>
      </c>
      <c r="K325" t="s">
        <v>347</v>
      </c>
      <c r="L325" t="s">
        <v>289</v>
      </c>
      <c r="M325" t="s">
        <v>98</v>
      </c>
      <c r="N325" t="s">
        <v>438</v>
      </c>
      <c r="O325" t="s">
        <v>437</v>
      </c>
      <c r="P325">
        <v>201700323</v>
      </c>
    </row>
    <row r="326" spans="10:16">
      <c r="J326" t="s">
        <v>430</v>
      </c>
      <c r="K326" t="s">
        <v>347</v>
      </c>
      <c r="L326" t="s">
        <v>289</v>
      </c>
      <c r="M326" t="s">
        <v>98</v>
      </c>
      <c r="N326" t="s">
        <v>438</v>
      </c>
      <c r="O326" t="s">
        <v>437</v>
      </c>
      <c r="P326">
        <v>201700324</v>
      </c>
    </row>
    <row r="327" spans="10:16">
      <c r="J327" t="s">
        <v>431</v>
      </c>
      <c r="K327" t="s">
        <v>347</v>
      </c>
      <c r="L327" t="s">
        <v>289</v>
      </c>
      <c r="M327" t="s">
        <v>98</v>
      </c>
      <c r="N327" t="s">
        <v>438</v>
      </c>
      <c r="O327" t="s">
        <v>437</v>
      </c>
      <c r="P327">
        <v>201700325</v>
      </c>
    </row>
    <row r="328" spans="10:16">
      <c r="J328" t="s">
        <v>349</v>
      </c>
      <c r="K328" t="s">
        <v>347</v>
      </c>
      <c r="L328" t="s">
        <v>289</v>
      </c>
      <c r="M328" t="s">
        <v>98</v>
      </c>
      <c r="N328" t="s">
        <v>438</v>
      </c>
      <c r="O328" t="s">
        <v>437</v>
      </c>
      <c r="P328">
        <v>201700326</v>
      </c>
    </row>
    <row r="329" spans="10:16">
      <c r="J329" t="s">
        <v>322</v>
      </c>
      <c r="K329" t="s">
        <v>347</v>
      </c>
      <c r="L329" t="s">
        <v>289</v>
      </c>
      <c r="M329" t="s">
        <v>98</v>
      </c>
      <c r="N329" t="s">
        <v>438</v>
      </c>
      <c r="O329" t="s">
        <v>437</v>
      </c>
      <c r="P329">
        <v>201700327</v>
      </c>
    </row>
    <row r="330" spans="10:16">
      <c r="J330" t="s">
        <v>432</v>
      </c>
      <c r="K330" t="s">
        <v>347</v>
      </c>
      <c r="L330" t="s">
        <v>289</v>
      </c>
      <c r="M330" t="s">
        <v>98</v>
      </c>
      <c r="N330" t="s">
        <v>438</v>
      </c>
      <c r="O330" t="s">
        <v>437</v>
      </c>
      <c r="P330">
        <v>201700328</v>
      </c>
    </row>
    <row r="331" spans="10:16">
      <c r="J331" t="s">
        <v>433</v>
      </c>
      <c r="K331" t="s">
        <v>347</v>
      </c>
      <c r="L331" t="s">
        <v>289</v>
      </c>
      <c r="M331" t="s">
        <v>98</v>
      </c>
      <c r="N331" t="s">
        <v>438</v>
      </c>
      <c r="O331" t="s">
        <v>437</v>
      </c>
      <c r="P331">
        <v>201700329</v>
      </c>
    </row>
    <row r="332" spans="10:16">
      <c r="J332" t="s">
        <v>434</v>
      </c>
      <c r="K332" t="s">
        <v>347</v>
      </c>
      <c r="L332" t="s">
        <v>289</v>
      </c>
      <c r="M332" t="s">
        <v>98</v>
      </c>
      <c r="N332" t="s">
        <v>438</v>
      </c>
      <c r="O332" t="s">
        <v>437</v>
      </c>
      <c r="P332">
        <v>201700330</v>
      </c>
    </row>
    <row r="333" spans="10:16">
      <c r="J333" t="s">
        <v>352</v>
      </c>
      <c r="K333" t="s">
        <v>347</v>
      </c>
      <c r="L333" t="s">
        <v>289</v>
      </c>
      <c r="M333" t="s">
        <v>98</v>
      </c>
      <c r="N333" t="s">
        <v>438</v>
      </c>
      <c r="O333" t="s">
        <v>437</v>
      </c>
      <c r="P333">
        <v>201700331</v>
      </c>
    </row>
    <row r="334" spans="10:16">
      <c r="J334" t="s">
        <v>435</v>
      </c>
      <c r="K334" t="s">
        <v>347</v>
      </c>
      <c r="L334" t="s">
        <v>289</v>
      </c>
      <c r="M334" t="s">
        <v>98</v>
      </c>
      <c r="N334" t="s">
        <v>438</v>
      </c>
      <c r="O334" t="s">
        <v>437</v>
      </c>
      <c r="P334">
        <v>201700332</v>
      </c>
    </row>
    <row r="335" spans="10:16">
      <c r="J335" t="s">
        <v>436</v>
      </c>
      <c r="K335" t="s">
        <v>347</v>
      </c>
      <c r="L335" t="s">
        <v>289</v>
      </c>
      <c r="M335" t="s">
        <v>98</v>
      </c>
      <c r="N335" t="s">
        <v>438</v>
      </c>
      <c r="O335" t="s">
        <v>437</v>
      </c>
      <c r="P335">
        <v>201700333</v>
      </c>
    </row>
    <row r="336" spans="10:16">
      <c r="J336" t="s">
        <v>41</v>
      </c>
      <c r="K336" t="s">
        <v>38</v>
      </c>
      <c r="L336" t="s">
        <v>36</v>
      </c>
      <c r="M336" t="s">
        <v>98</v>
      </c>
      <c r="N336" t="s">
        <v>438</v>
      </c>
      <c r="O336" t="s">
        <v>437</v>
      </c>
      <c r="P336">
        <v>201800334</v>
      </c>
    </row>
    <row r="337" spans="10:16">
      <c r="J337" t="s">
        <v>42</v>
      </c>
      <c r="K337" t="s">
        <v>38</v>
      </c>
      <c r="L337" t="s">
        <v>36</v>
      </c>
      <c r="M337" t="s">
        <v>98</v>
      </c>
      <c r="N337" t="s">
        <v>438</v>
      </c>
      <c r="O337" t="s">
        <v>437</v>
      </c>
      <c r="P337">
        <v>201800335</v>
      </c>
    </row>
    <row r="338" spans="10:16">
      <c r="J338" t="s">
        <v>43</v>
      </c>
      <c r="K338" t="s">
        <v>38</v>
      </c>
      <c r="L338" t="s">
        <v>36</v>
      </c>
      <c r="M338" t="s">
        <v>98</v>
      </c>
      <c r="N338" t="s">
        <v>438</v>
      </c>
      <c r="O338" t="s">
        <v>437</v>
      </c>
      <c r="P338">
        <v>201800336</v>
      </c>
    </row>
    <row r="339" spans="10:16">
      <c r="J339" t="s">
        <v>44</v>
      </c>
      <c r="K339" t="s">
        <v>38</v>
      </c>
      <c r="L339" t="s">
        <v>36</v>
      </c>
      <c r="M339" t="s">
        <v>98</v>
      </c>
      <c r="N339" t="s">
        <v>438</v>
      </c>
      <c r="O339" t="s">
        <v>437</v>
      </c>
      <c r="P339">
        <v>201800337</v>
      </c>
    </row>
    <row r="340" spans="10:16">
      <c r="J340" t="s">
        <v>45</v>
      </c>
      <c r="K340" t="s">
        <v>38</v>
      </c>
      <c r="L340" t="s">
        <v>36</v>
      </c>
      <c r="M340" t="s">
        <v>98</v>
      </c>
      <c r="N340" t="s">
        <v>438</v>
      </c>
      <c r="O340" t="s">
        <v>437</v>
      </c>
      <c r="P340">
        <v>201800338</v>
      </c>
    </row>
    <row r="341" spans="10:16">
      <c r="J341" t="s">
        <v>46</v>
      </c>
      <c r="K341" t="s">
        <v>38</v>
      </c>
      <c r="L341" t="s">
        <v>36</v>
      </c>
      <c r="M341" t="s">
        <v>98</v>
      </c>
      <c r="N341" t="s">
        <v>438</v>
      </c>
      <c r="O341" t="s">
        <v>437</v>
      </c>
      <c r="P341">
        <v>201800339</v>
      </c>
    </row>
    <row r="342" spans="10:16">
      <c r="J342" t="s">
        <v>47</v>
      </c>
      <c r="K342" t="s">
        <v>38</v>
      </c>
      <c r="L342" t="s">
        <v>36</v>
      </c>
      <c r="M342" t="s">
        <v>98</v>
      </c>
      <c r="N342" t="s">
        <v>438</v>
      </c>
      <c r="O342" t="s">
        <v>437</v>
      </c>
      <c r="P342">
        <v>201800340</v>
      </c>
    </row>
    <row r="343" spans="10:16">
      <c r="J343" t="s">
        <v>48</v>
      </c>
      <c r="K343" t="s">
        <v>38</v>
      </c>
      <c r="L343" t="s">
        <v>36</v>
      </c>
      <c r="M343" t="s">
        <v>98</v>
      </c>
      <c r="N343" t="s">
        <v>438</v>
      </c>
      <c r="O343" t="s">
        <v>437</v>
      </c>
      <c r="P343">
        <v>201800341</v>
      </c>
    </row>
    <row r="344" spans="10:16">
      <c r="J344" t="s">
        <v>49</v>
      </c>
      <c r="K344" t="s">
        <v>38</v>
      </c>
      <c r="L344" t="s">
        <v>36</v>
      </c>
      <c r="M344" t="s">
        <v>98</v>
      </c>
      <c r="N344" t="s">
        <v>438</v>
      </c>
      <c r="O344" t="s">
        <v>437</v>
      </c>
      <c r="P344">
        <v>201800342</v>
      </c>
    </row>
    <row r="345" spans="10:16">
      <c r="J345" t="s">
        <v>50</v>
      </c>
      <c r="K345" t="s">
        <v>38</v>
      </c>
      <c r="L345" t="s">
        <v>36</v>
      </c>
      <c r="M345" t="s">
        <v>98</v>
      </c>
      <c r="N345" t="s">
        <v>438</v>
      </c>
      <c r="O345" t="s">
        <v>437</v>
      </c>
      <c r="P345">
        <v>201800343</v>
      </c>
    </row>
    <row r="346" spans="10:16">
      <c r="J346" t="s">
        <v>51</v>
      </c>
      <c r="K346" t="s">
        <v>38</v>
      </c>
      <c r="L346" t="s">
        <v>36</v>
      </c>
      <c r="M346" t="s">
        <v>98</v>
      </c>
      <c r="N346" t="s">
        <v>438</v>
      </c>
      <c r="O346" t="s">
        <v>437</v>
      </c>
      <c r="P346">
        <v>201800344</v>
      </c>
    </row>
    <row r="347" spans="10:16">
      <c r="J347" t="s">
        <v>52</v>
      </c>
      <c r="K347" t="s">
        <v>38</v>
      </c>
      <c r="L347" t="s">
        <v>36</v>
      </c>
      <c r="M347" t="s">
        <v>98</v>
      </c>
      <c r="N347" t="s">
        <v>438</v>
      </c>
      <c r="O347" t="s">
        <v>437</v>
      </c>
      <c r="P347">
        <v>201800345</v>
      </c>
    </row>
    <row r="348" spans="10:16">
      <c r="J348" t="s">
        <v>94</v>
      </c>
      <c r="K348" t="s">
        <v>38</v>
      </c>
      <c r="L348" t="s">
        <v>36</v>
      </c>
      <c r="M348" t="s">
        <v>98</v>
      </c>
      <c r="N348" t="s">
        <v>438</v>
      </c>
      <c r="O348" t="s">
        <v>437</v>
      </c>
      <c r="P348">
        <v>201800346</v>
      </c>
    </row>
    <row r="349" spans="10:16">
      <c r="J349" t="s">
        <v>82</v>
      </c>
      <c r="K349" t="s">
        <v>38</v>
      </c>
      <c r="L349" t="s">
        <v>36</v>
      </c>
      <c r="M349" t="s">
        <v>98</v>
      </c>
      <c r="N349" t="s">
        <v>438</v>
      </c>
      <c r="O349" t="s">
        <v>437</v>
      </c>
      <c r="P349">
        <v>201800347</v>
      </c>
    </row>
    <row r="350" spans="10:16">
      <c r="J350" t="s">
        <v>53</v>
      </c>
      <c r="K350" t="s">
        <v>38</v>
      </c>
      <c r="L350" t="s">
        <v>36</v>
      </c>
      <c r="M350" t="s">
        <v>98</v>
      </c>
      <c r="N350" t="s">
        <v>438</v>
      </c>
      <c r="O350" t="s">
        <v>437</v>
      </c>
      <c r="P350">
        <v>201800348</v>
      </c>
    </row>
    <row r="351" spans="10:16">
      <c r="J351" t="s">
        <v>54</v>
      </c>
      <c r="K351" t="s">
        <v>38</v>
      </c>
      <c r="L351" t="s">
        <v>36</v>
      </c>
      <c r="M351" t="s">
        <v>98</v>
      </c>
      <c r="N351" t="s">
        <v>438</v>
      </c>
      <c r="O351" t="s">
        <v>437</v>
      </c>
      <c r="P351">
        <v>201800349</v>
      </c>
    </row>
    <row r="352" spans="10:16">
      <c r="J352" t="s">
        <v>55</v>
      </c>
      <c r="K352" t="s">
        <v>38</v>
      </c>
      <c r="L352" t="s">
        <v>36</v>
      </c>
      <c r="M352" t="s">
        <v>98</v>
      </c>
      <c r="N352" t="s">
        <v>438</v>
      </c>
      <c r="O352" t="s">
        <v>437</v>
      </c>
      <c r="P352">
        <v>201800350</v>
      </c>
    </row>
    <row r="353" spans="10:16">
      <c r="J353" t="s">
        <v>56</v>
      </c>
      <c r="K353" t="s">
        <v>38</v>
      </c>
      <c r="L353" t="s">
        <v>36</v>
      </c>
      <c r="M353" t="s">
        <v>98</v>
      </c>
      <c r="N353" t="s">
        <v>438</v>
      </c>
      <c r="O353" t="s">
        <v>437</v>
      </c>
      <c r="P353">
        <v>201800351</v>
      </c>
    </row>
    <row r="354" spans="10:16">
      <c r="J354" t="s">
        <v>57</v>
      </c>
      <c r="K354" t="s">
        <v>38</v>
      </c>
      <c r="L354" t="s">
        <v>36</v>
      </c>
      <c r="M354" t="s">
        <v>98</v>
      </c>
      <c r="N354" t="s">
        <v>438</v>
      </c>
      <c r="O354" t="s">
        <v>437</v>
      </c>
      <c r="P354">
        <v>201800352</v>
      </c>
    </row>
    <row r="355" spans="10:16">
      <c r="J355" t="s">
        <v>58</v>
      </c>
      <c r="K355" t="s">
        <v>38</v>
      </c>
      <c r="L355" t="s">
        <v>36</v>
      </c>
      <c r="M355" t="s">
        <v>98</v>
      </c>
      <c r="N355" t="s">
        <v>438</v>
      </c>
      <c r="O355" t="s">
        <v>437</v>
      </c>
      <c r="P355">
        <v>201800353</v>
      </c>
    </row>
    <row r="356" spans="10:16">
      <c r="J356" t="s">
        <v>59</v>
      </c>
      <c r="K356" t="s">
        <v>38</v>
      </c>
      <c r="L356" t="s">
        <v>36</v>
      </c>
      <c r="M356" t="s">
        <v>98</v>
      </c>
      <c r="N356" t="s">
        <v>438</v>
      </c>
      <c r="O356" t="s">
        <v>437</v>
      </c>
      <c r="P356">
        <v>201800354</v>
      </c>
    </row>
    <row r="357" spans="10:16">
      <c r="J357" t="s">
        <v>60</v>
      </c>
      <c r="K357" t="s">
        <v>38</v>
      </c>
      <c r="L357" t="s">
        <v>36</v>
      </c>
      <c r="M357" t="s">
        <v>98</v>
      </c>
      <c r="N357" t="s">
        <v>438</v>
      </c>
      <c r="O357" t="s">
        <v>437</v>
      </c>
      <c r="P357">
        <v>201800355</v>
      </c>
    </row>
    <row r="358" spans="10:16">
      <c r="J358" t="s">
        <v>61</v>
      </c>
      <c r="K358" t="s">
        <v>38</v>
      </c>
      <c r="L358" t="s">
        <v>36</v>
      </c>
      <c r="M358" t="s">
        <v>98</v>
      </c>
      <c r="N358" t="s">
        <v>438</v>
      </c>
      <c r="O358" t="s">
        <v>437</v>
      </c>
      <c r="P358">
        <v>201800356</v>
      </c>
    </row>
    <row r="359" spans="10:16">
      <c r="J359" t="s">
        <v>62</v>
      </c>
      <c r="K359" t="s">
        <v>38</v>
      </c>
      <c r="L359" t="s">
        <v>36</v>
      </c>
      <c r="M359" t="s">
        <v>98</v>
      </c>
      <c r="N359" t="s">
        <v>438</v>
      </c>
      <c r="O359" t="s">
        <v>437</v>
      </c>
      <c r="P359">
        <v>201800357</v>
      </c>
    </row>
    <row r="360" spans="10:16">
      <c r="J360" t="s">
        <v>63</v>
      </c>
      <c r="K360" t="s">
        <v>38</v>
      </c>
      <c r="L360" t="s">
        <v>36</v>
      </c>
      <c r="M360" t="s">
        <v>98</v>
      </c>
      <c r="N360" t="s">
        <v>438</v>
      </c>
      <c r="O360" t="s">
        <v>437</v>
      </c>
      <c r="P360">
        <v>201800358</v>
      </c>
    </row>
    <row r="361" spans="10:16">
      <c r="J361" t="s">
        <v>64</v>
      </c>
      <c r="K361" t="s">
        <v>38</v>
      </c>
      <c r="L361" t="s">
        <v>36</v>
      </c>
      <c r="M361" t="s">
        <v>98</v>
      </c>
      <c r="N361" t="s">
        <v>438</v>
      </c>
      <c r="O361" t="s">
        <v>437</v>
      </c>
      <c r="P361">
        <v>201800359</v>
      </c>
    </row>
    <row r="362" spans="10:16">
      <c r="J362" t="s">
        <v>65</v>
      </c>
      <c r="K362" t="s">
        <v>38</v>
      </c>
      <c r="L362" t="s">
        <v>36</v>
      </c>
      <c r="M362" t="s">
        <v>98</v>
      </c>
      <c r="N362" t="s">
        <v>438</v>
      </c>
      <c r="O362" t="s">
        <v>437</v>
      </c>
      <c r="P362">
        <v>201800360</v>
      </c>
    </row>
    <row r="363" spans="10:16">
      <c r="J363" t="s">
        <v>66</v>
      </c>
      <c r="K363" t="s">
        <v>38</v>
      </c>
      <c r="L363" t="s">
        <v>36</v>
      </c>
      <c r="M363" t="s">
        <v>98</v>
      </c>
      <c r="N363" t="s">
        <v>438</v>
      </c>
      <c r="O363" t="s">
        <v>437</v>
      </c>
      <c r="P363">
        <v>201800361</v>
      </c>
    </row>
    <row r="364" spans="10:16">
      <c r="J364" t="s">
        <v>67</v>
      </c>
      <c r="K364" t="s">
        <v>38</v>
      </c>
      <c r="L364" t="s">
        <v>36</v>
      </c>
      <c r="M364" t="s">
        <v>98</v>
      </c>
      <c r="N364" t="s">
        <v>438</v>
      </c>
      <c r="O364" t="s">
        <v>437</v>
      </c>
      <c r="P364">
        <v>201800362</v>
      </c>
    </row>
    <row r="365" spans="10:16">
      <c r="J365" t="s">
        <v>68</v>
      </c>
      <c r="K365" t="s">
        <v>38</v>
      </c>
      <c r="L365" t="s">
        <v>36</v>
      </c>
      <c r="M365" t="s">
        <v>98</v>
      </c>
      <c r="N365" t="s">
        <v>438</v>
      </c>
      <c r="O365" t="s">
        <v>437</v>
      </c>
      <c r="P365">
        <v>201800363</v>
      </c>
    </row>
    <row r="366" spans="10:16">
      <c r="J366" t="s">
        <v>69</v>
      </c>
      <c r="K366" t="s">
        <v>38</v>
      </c>
      <c r="L366" t="s">
        <v>36</v>
      </c>
      <c r="M366" t="s">
        <v>98</v>
      </c>
      <c r="N366" t="s">
        <v>438</v>
      </c>
      <c r="O366" t="s">
        <v>437</v>
      </c>
      <c r="P366">
        <v>201800364</v>
      </c>
    </row>
    <row r="367" spans="10:16">
      <c r="J367" t="s">
        <v>89</v>
      </c>
      <c r="K367" t="s">
        <v>38</v>
      </c>
      <c r="L367" t="s">
        <v>36</v>
      </c>
      <c r="M367" t="s">
        <v>98</v>
      </c>
      <c r="N367" t="s">
        <v>438</v>
      </c>
      <c r="O367" t="s">
        <v>437</v>
      </c>
      <c r="P367">
        <v>201800365</v>
      </c>
    </row>
    <row r="368" spans="10:16">
      <c r="J368" t="s">
        <v>71</v>
      </c>
      <c r="K368" t="s">
        <v>38</v>
      </c>
      <c r="L368" t="s">
        <v>36</v>
      </c>
      <c r="M368" t="s">
        <v>98</v>
      </c>
      <c r="N368" t="s">
        <v>438</v>
      </c>
      <c r="O368" t="s">
        <v>437</v>
      </c>
      <c r="P368">
        <v>201800366</v>
      </c>
    </row>
    <row r="369" spans="10:16">
      <c r="J369" t="s">
        <v>72</v>
      </c>
      <c r="K369" t="s">
        <v>38</v>
      </c>
      <c r="L369" t="s">
        <v>36</v>
      </c>
      <c r="M369" t="s">
        <v>98</v>
      </c>
      <c r="N369" t="s">
        <v>438</v>
      </c>
      <c r="O369" t="s">
        <v>437</v>
      </c>
      <c r="P369">
        <v>201800367</v>
      </c>
    </row>
    <row r="370" spans="10:16">
      <c r="J370" t="s">
        <v>73</v>
      </c>
      <c r="K370" t="s">
        <v>38</v>
      </c>
      <c r="L370" t="s">
        <v>36</v>
      </c>
      <c r="M370" t="s">
        <v>98</v>
      </c>
      <c r="N370" t="s">
        <v>438</v>
      </c>
      <c r="O370" t="s">
        <v>437</v>
      </c>
      <c r="P370">
        <v>201800368</v>
      </c>
    </row>
    <row r="371" spans="10:16">
      <c r="J371" t="s">
        <v>74</v>
      </c>
      <c r="K371" t="s">
        <v>38</v>
      </c>
      <c r="L371" t="s">
        <v>36</v>
      </c>
      <c r="M371" t="s">
        <v>98</v>
      </c>
      <c r="N371" t="s">
        <v>438</v>
      </c>
      <c r="O371" t="s">
        <v>437</v>
      </c>
      <c r="P371">
        <v>201800369</v>
      </c>
    </row>
    <row r="372" spans="10:16">
      <c r="J372" t="s">
        <v>75</v>
      </c>
      <c r="K372" t="s">
        <v>38</v>
      </c>
      <c r="L372" t="s">
        <v>36</v>
      </c>
      <c r="M372" t="s">
        <v>98</v>
      </c>
      <c r="N372" t="s">
        <v>438</v>
      </c>
      <c r="O372" t="s">
        <v>437</v>
      </c>
      <c r="P372">
        <v>201800370</v>
      </c>
    </row>
    <row r="373" spans="10:16">
      <c r="J373" t="s">
        <v>76</v>
      </c>
      <c r="K373" t="s">
        <v>38</v>
      </c>
      <c r="L373" t="s">
        <v>36</v>
      </c>
      <c r="M373" t="s">
        <v>98</v>
      </c>
      <c r="N373" t="s">
        <v>438</v>
      </c>
      <c r="O373" t="s">
        <v>437</v>
      </c>
      <c r="P373">
        <v>201800371</v>
      </c>
    </row>
    <row r="374" spans="10:16">
      <c r="J374" t="s">
        <v>77</v>
      </c>
      <c r="K374" t="s">
        <v>38</v>
      </c>
      <c r="L374" t="s">
        <v>36</v>
      </c>
      <c r="M374" t="s">
        <v>98</v>
      </c>
      <c r="N374" t="s">
        <v>438</v>
      </c>
      <c r="O374" t="s">
        <v>437</v>
      </c>
      <c r="P374">
        <v>201800372</v>
      </c>
    </row>
    <row r="375" spans="10:16">
      <c r="J375" t="s">
        <v>78</v>
      </c>
      <c r="K375" t="s">
        <v>38</v>
      </c>
      <c r="L375" t="s">
        <v>36</v>
      </c>
      <c r="M375" t="s">
        <v>98</v>
      </c>
      <c r="N375" t="s">
        <v>438</v>
      </c>
      <c r="O375" t="s">
        <v>437</v>
      </c>
      <c r="P375">
        <v>201800373</v>
      </c>
    </row>
    <row r="376" spans="10:16">
      <c r="J376" t="s">
        <v>79</v>
      </c>
      <c r="K376" t="s">
        <v>38</v>
      </c>
      <c r="L376" t="s">
        <v>36</v>
      </c>
      <c r="M376" t="s">
        <v>98</v>
      </c>
      <c r="N376" t="s">
        <v>438</v>
      </c>
      <c r="O376" t="s">
        <v>437</v>
      </c>
      <c r="P376">
        <v>201800374</v>
      </c>
    </row>
    <row r="377" spans="10:16">
      <c r="J377" t="s">
        <v>93</v>
      </c>
      <c r="K377" t="s">
        <v>38</v>
      </c>
      <c r="L377" t="s">
        <v>36</v>
      </c>
      <c r="M377" t="s">
        <v>98</v>
      </c>
      <c r="N377" t="s">
        <v>438</v>
      </c>
      <c r="O377" t="s">
        <v>437</v>
      </c>
      <c r="P377">
        <v>201800375</v>
      </c>
    </row>
    <row r="378" spans="10:16">
      <c r="J378" t="s">
        <v>92</v>
      </c>
      <c r="K378" t="s">
        <v>38</v>
      </c>
      <c r="L378" t="s">
        <v>36</v>
      </c>
      <c r="M378" t="s">
        <v>98</v>
      </c>
      <c r="N378" t="s">
        <v>438</v>
      </c>
      <c r="O378" t="s">
        <v>437</v>
      </c>
      <c r="P378">
        <v>201800376</v>
      </c>
    </row>
    <row r="379" spans="10:16">
      <c r="J379" t="s">
        <v>80</v>
      </c>
      <c r="K379" t="s">
        <v>38</v>
      </c>
      <c r="L379" t="s">
        <v>36</v>
      </c>
      <c r="M379" t="s">
        <v>98</v>
      </c>
      <c r="N379" t="s">
        <v>438</v>
      </c>
      <c r="O379" t="s">
        <v>437</v>
      </c>
      <c r="P379">
        <v>201800377</v>
      </c>
    </row>
    <row r="380" spans="10:16">
      <c r="J380" t="s">
        <v>81</v>
      </c>
      <c r="K380" t="s">
        <v>38</v>
      </c>
      <c r="L380" t="s">
        <v>36</v>
      </c>
      <c r="M380" t="s">
        <v>98</v>
      </c>
      <c r="N380" t="s">
        <v>438</v>
      </c>
      <c r="O380" t="s">
        <v>437</v>
      </c>
      <c r="P380">
        <v>201800378</v>
      </c>
    </row>
    <row r="381" spans="10:16">
      <c r="J381" t="s">
        <v>83</v>
      </c>
      <c r="K381" t="s">
        <v>38</v>
      </c>
      <c r="L381" t="s">
        <v>36</v>
      </c>
      <c r="M381" t="s">
        <v>98</v>
      </c>
      <c r="N381" t="s">
        <v>438</v>
      </c>
      <c r="O381" t="s">
        <v>437</v>
      </c>
      <c r="P381">
        <v>201800379</v>
      </c>
    </row>
    <row r="382" spans="10:16">
      <c r="J382" t="s">
        <v>84</v>
      </c>
      <c r="K382" t="s">
        <v>38</v>
      </c>
      <c r="L382" t="s">
        <v>36</v>
      </c>
      <c r="M382" t="s">
        <v>98</v>
      </c>
      <c r="N382" t="s">
        <v>438</v>
      </c>
      <c r="O382" t="s">
        <v>437</v>
      </c>
      <c r="P382">
        <v>201800380</v>
      </c>
    </row>
    <row r="383" spans="10:16">
      <c r="J383" t="s">
        <v>85</v>
      </c>
      <c r="K383" t="s">
        <v>38</v>
      </c>
      <c r="L383" t="s">
        <v>36</v>
      </c>
      <c r="M383" t="s">
        <v>98</v>
      </c>
      <c r="N383" t="s">
        <v>438</v>
      </c>
      <c r="O383" t="s">
        <v>437</v>
      </c>
      <c r="P383">
        <v>201800381</v>
      </c>
    </row>
    <row r="384" spans="10:16">
      <c r="J384" t="s">
        <v>86</v>
      </c>
      <c r="K384" t="s">
        <v>38</v>
      </c>
      <c r="L384" t="s">
        <v>36</v>
      </c>
      <c r="M384" t="s">
        <v>98</v>
      </c>
      <c r="N384" t="s">
        <v>438</v>
      </c>
      <c r="O384" t="s">
        <v>437</v>
      </c>
      <c r="P384">
        <v>201800382</v>
      </c>
    </row>
    <row r="385" spans="10:16">
      <c r="J385" t="s">
        <v>87</v>
      </c>
      <c r="K385" t="s">
        <v>38</v>
      </c>
      <c r="L385" t="s">
        <v>36</v>
      </c>
      <c r="M385" t="s">
        <v>98</v>
      </c>
      <c r="N385" t="s">
        <v>438</v>
      </c>
      <c r="O385" t="s">
        <v>437</v>
      </c>
      <c r="P385">
        <v>201800383</v>
      </c>
    </row>
    <row r="386" spans="10:16">
      <c r="J386" t="s">
        <v>88</v>
      </c>
      <c r="K386" t="s">
        <v>38</v>
      </c>
      <c r="L386" t="s">
        <v>36</v>
      </c>
      <c r="M386" t="s">
        <v>98</v>
      </c>
      <c r="N386" t="s">
        <v>438</v>
      </c>
      <c r="O386" t="s">
        <v>437</v>
      </c>
      <c r="P386">
        <v>201800384</v>
      </c>
    </row>
    <row r="387" spans="10:16">
      <c r="J387" t="s">
        <v>70</v>
      </c>
      <c r="K387" t="s">
        <v>38</v>
      </c>
      <c r="L387" t="s">
        <v>36</v>
      </c>
      <c r="M387" t="s">
        <v>98</v>
      </c>
      <c r="N387" t="s">
        <v>438</v>
      </c>
      <c r="O387" t="s">
        <v>437</v>
      </c>
      <c r="P387">
        <v>201800385</v>
      </c>
    </row>
    <row r="388" spans="10:16">
      <c r="J388" t="s">
        <v>441</v>
      </c>
      <c r="K388" t="s">
        <v>38</v>
      </c>
      <c r="L388" t="s">
        <v>36</v>
      </c>
      <c r="M388" t="s">
        <v>98</v>
      </c>
      <c r="N388" t="s">
        <v>438</v>
      </c>
      <c r="O388" t="s">
        <v>437</v>
      </c>
      <c r="P388">
        <v>201800386</v>
      </c>
    </row>
  </sheetData>
  <phoneticPr fontId="0" type="noConversion"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>
  <sheetPr codeName="Sheet12"/>
  <dimension ref="A1:R7"/>
  <sheetViews>
    <sheetView topLeftCell="B1" workbookViewId="0">
      <selection activeCell="G14" sqref="G14"/>
    </sheetView>
  </sheetViews>
  <sheetFormatPr defaultRowHeight="13.5"/>
  <cols>
    <col min="1" max="1" width="4.75" customWidth="1"/>
    <col min="2" max="2" width="6.125" customWidth="1"/>
    <col min="3" max="3" width="6.75" customWidth="1"/>
    <col min="4" max="4" width="3.875" customWidth="1"/>
    <col min="6" max="8" width="13.875" bestFit="1" customWidth="1"/>
    <col min="10" max="11" width="13.875" bestFit="1" customWidth="1"/>
    <col min="14" max="15" width="13.875" bestFit="1" customWidth="1"/>
  </cols>
  <sheetData>
    <row r="1" spans="1:18">
      <c r="A1" t="s">
        <v>596</v>
      </c>
      <c r="B1" t="s">
        <v>597</v>
      </c>
      <c r="C1" t="s">
        <v>598</v>
      </c>
      <c r="D1" t="s">
        <v>599</v>
      </c>
      <c r="E1" t="s">
        <v>600</v>
      </c>
      <c r="F1" t="s">
        <v>601</v>
      </c>
      <c r="G1" t="s">
        <v>602</v>
      </c>
      <c r="H1" t="s">
        <v>603</v>
      </c>
      <c r="I1" t="s">
        <v>604</v>
      </c>
      <c r="J1" t="s">
        <v>605</v>
      </c>
      <c r="K1" t="s">
        <v>606</v>
      </c>
      <c r="L1" t="s">
        <v>607</v>
      </c>
      <c r="M1" t="s">
        <v>608</v>
      </c>
      <c r="N1" t="s">
        <v>609</v>
      </c>
      <c r="O1" t="s">
        <v>610</v>
      </c>
      <c r="P1" t="s">
        <v>611</v>
      </c>
      <c r="Q1" t="s">
        <v>612</v>
      </c>
      <c r="R1" t="s">
        <v>613</v>
      </c>
    </row>
    <row r="2" spans="1:18">
      <c r="A2">
        <v>1</v>
      </c>
      <c r="B2" t="s">
        <v>592</v>
      </c>
      <c r="C2">
        <v>1703</v>
      </c>
      <c r="D2" t="s">
        <v>595</v>
      </c>
      <c r="E2">
        <v>1977.1669999999999</v>
      </c>
      <c r="F2">
        <v>42751.875</v>
      </c>
      <c r="G2">
        <v>42751.875</v>
      </c>
      <c r="H2">
        <v>42752.979166666664</v>
      </c>
      <c r="I2">
        <f t="shared" ref="I2:I7" si="0">(G2-F2)*24</f>
        <v>0</v>
      </c>
      <c r="L2">
        <f t="shared" ref="L2:L7" si="1">(K2-J2)*24</f>
        <v>0</v>
      </c>
      <c r="M2" t="e">
        <f>E2/L2</f>
        <v>#DIV/0!</v>
      </c>
      <c r="N2">
        <v>42751.986111111109</v>
      </c>
      <c r="O2">
        <v>42752.9375</v>
      </c>
      <c r="P2">
        <f t="shared" ref="P2:P7" si="2">(O2-N2)*24</f>
        <v>22.833333333372138</v>
      </c>
      <c r="Q2">
        <f t="shared" ref="Q2:Q7" si="3">E2/P2</f>
        <v>86.591255474305385</v>
      </c>
    </row>
    <row r="3" spans="1:18">
      <c r="A3">
        <v>2</v>
      </c>
      <c r="B3" t="s">
        <v>593</v>
      </c>
      <c r="C3">
        <v>1704</v>
      </c>
      <c r="D3" t="s">
        <v>595</v>
      </c>
      <c r="E3">
        <v>2006.472</v>
      </c>
      <c r="F3">
        <v>42752.9375</v>
      </c>
      <c r="G3">
        <v>42752.9375</v>
      </c>
      <c r="H3">
        <v>42754.809027777781</v>
      </c>
      <c r="I3">
        <f t="shared" si="0"/>
        <v>0</v>
      </c>
      <c r="J3">
        <v>42753.065972222219</v>
      </c>
      <c r="K3">
        <v>42754.625</v>
      </c>
      <c r="L3">
        <f t="shared" si="1"/>
        <v>37.416666666744277</v>
      </c>
      <c r="M3">
        <f>E3/L3</f>
        <v>53.625086859576967</v>
      </c>
      <c r="P3">
        <f t="shared" si="2"/>
        <v>0</v>
      </c>
      <c r="Q3" t="e">
        <f t="shared" si="3"/>
        <v>#DIV/0!</v>
      </c>
    </row>
    <row r="4" spans="1:18">
      <c r="A4">
        <v>3</v>
      </c>
      <c r="B4" t="s">
        <v>592</v>
      </c>
      <c r="C4">
        <v>1709</v>
      </c>
      <c r="D4" t="s">
        <v>595</v>
      </c>
      <c r="E4">
        <v>1094.886</v>
      </c>
      <c r="F4">
        <v>42784.743055555555</v>
      </c>
      <c r="G4">
        <v>42784.815972222219</v>
      </c>
      <c r="H4">
        <v>42785.576388888891</v>
      </c>
      <c r="I4">
        <f t="shared" si="0"/>
        <v>1.7499999999417923</v>
      </c>
      <c r="L4">
        <f t="shared" si="1"/>
        <v>0</v>
      </c>
      <c r="M4" t="e">
        <f>E4/L4</f>
        <v>#DIV/0!</v>
      </c>
      <c r="N4">
        <v>42784.982638888891</v>
      </c>
      <c r="O4">
        <v>42785.5</v>
      </c>
      <c r="P4">
        <f t="shared" si="2"/>
        <v>12.416666666627862</v>
      </c>
      <c r="Q4">
        <f t="shared" si="3"/>
        <v>88.178738255309128</v>
      </c>
    </row>
    <row r="5" spans="1:18">
      <c r="A5">
        <v>4</v>
      </c>
      <c r="B5" t="s">
        <v>592</v>
      </c>
      <c r="C5">
        <v>1710</v>
      </c>
      <c r="D5" t="s">
        <v>595</v>
      </c>
      <c r="E5">
        <v>1480.364</v>
      </c>
      <c r="F5">
        <v>42785.576388888891</v>
      </c>
      <c r="G5">
        <v>42785.576388888891</v>
      </c>
      <c r="H5">
        <v>42786.371527777781</v>
      </c>
      <c r="I5">
        <f t="shared" si="0"/>
        <v>0</v>
      </c>
      <c r="J5">
        <v>42785.694444444445</v>
      </c>
      <c r="K5">
        <v>42786.166666666664</v>
      </c>
      <c r="L5">
        <f t="shared" si="1"/>
        <v>11.333333333255723</v>
      </c>
      <c r="M5">
        <f>E5/L5</f>
        <v>130.62035294207095</v>
      </c>
      <c r="P5">
        <f t="shared" si="2"/>
        <v>0</v>
      </c>
      <c r="Q5" t="e">
        <f t="shared" si="3"/>
        <v>#DIV/0!</v>
      </c>
    </row>
    <row r="6" spans="1:18">
      <c r="A6">
        <v>5</v>
      </c>
      <c r="B6" t="s">
        <v>593</v>
      </c>
      <c r="C6">
        <v>1714</v>
      </c>
      <c r="D6" t="s">
        <v>594</v>
      </c>
      <c r="E6">
        <v>1997.183</v>
      </c>
      <c r="F6">
        <v>42814.423611111109</v>
      </c>
      <c r="G6">
        <v>42815.559027777781</v>
      </c>
      <c r="H6">
        <v>42816.791666666664</v>
      </c>
      <c r="I6">
        <f t="shared" si="0"/>
        <v>27.250000000116415</v>
      </c>
      <c r="L6">
        <f t="shared" si="1"/>
        <v>0</v>
      </c>
      <c r="M6" t="e">
        <f>AVERAGE(M2:M5)</f>
        <v>#DIV/0!</v>
      </c>
      <c r="N6">
        <v>42815.763888888891</v>
      </c>
      <c r="O6">
        <v>42816.754861111112</v>
      </c>
      <c r="P6">
        <f t="shared" si="2"/>
        <v>23.783333333325572</v>
      </c>
      <c r="Q6">
        <f t="shared" si="3"/>
        <v>83.974057463236932</v>
      </c>
    </row>
    <row r="7" spans="1:18">
      <c r="A7">
        <v>6</v>
      </c>
      <c r="B7" t="s">
        <v>593</v>
      </c>
      <c r="C7">
        <v>1715</v>
      </c>
      <c r="D7" t="s">
        <v>594</v>
      </c>
      <c r="E7">
        <v>1981.912</v>
      </c>
      <c r="F7">
        <v>42816.791666666664</v>
      </c>
      <c r="G7">
        <v>42816.791666666664</v>
      </c>
      <c r="H7">
        <v>42818.538194444445</v>
      </c>
      <c r="I7">
        <f t="shared" si="0"/>
        <v>0</v>
      </c>
      <c r="J7">
        <v>42817.645833333336</v>
      </c>
      <c r="K7">
        <v>42818.378472222219</v>
      </c>
      <c r="L7">
        <f t="shared" si="1"/>
        <v>17.583333333197515</v>
      </c>
      <c r="M7">
        <f>E7/L7</f>
        <v>112.71537440845358</v>
      </c>
      <c r="P7">
        <f t="shared" si="2"/>
        <v>0</v>
      </c>
      <c r="Q7" t="e">
        <f t="shared" si="3"/>
        <v>#DIV/0!</v>
      </c>
    </row>
  </sheetData>
  <protectedRanges>
    <protectedRange sqref="J4:K4" name="区域1_4"/>
    <protectedRange sqref="J4" name="区域1_6"/>
    <protectedRange sqref="K4" name="区域1_7"/>
    <protectedRange sqref="J4" name="区域1_19"/>
    <protectedRange sqref="J4" name="区域1_18_1"/>
    <protectedRange sqref="J4" name="区域1_14_3_1"/>
    <protectedRange sqref="K4" name="区域1_20"/>
    <protectedRange sqref="K4" name="区域1_18_2"/>
    <protectedRange sqref="K4" name="区域1_14_3_2"/>
    <protectedRange sqref="J4" name="区域1_33"/>
    <protectedRange sqref="J4" name="区域1_18_3"/>
    <protectedRange sqref="J4" name="区域1_14_3_3"/>
    <protectedRange sqref="J4" name="区域1_32_1"/>
    <protectedRange sqref="J4" name="区域1_14_5_1"/>
    <protectedRange sqref="K4" name="区域1_34"/>
    <protectedRange sqref="K4" name="区域1_6_1"/>
    <protectedRange sqref="K4" name="区域1_19_1"/>
    <protectedRange sqref="K4" name="区域1_18_1_1"/>
    <protectedRange sqref="K4" name="区域1_14_3_1_1"/>
    <protectedRange sqref="K4" name="区域1_33_1"/>
    <protectedRange sqref="K4" name="区域1_18_3_1"/>
    <protectedRange sqref="K4" name="区域1_14_3_3_1"/>
    <protectedRange sqref="K4" name="区域1_32_1_1"/>
    <protectedRange sqref="K4" name="区域1_14_5_1_1"/>
    <protectedRange sqref="J4" name="区域1_35"/>
    <protectedRange sqref="J4" name="区域1_18_4"/>
    <protectedRange sqref="J4" name="区域1_14_3_4"/>
    <protectedRange sqref="J4" name="区域1_32_2"/>
    <protectedRange sqref="J4" name="区域1_14_5_2"/>
    <protectedRange sqref="J4" name="区域1_38"/>
    <protectedRange sqref="J4" name="区域1_18_5"/>
    <protectedRange sqref="J4" name="区域1_14_3_5"/>
    <protectedRange sqref="J4" name="区域1_32_3"/>
    <protectedRange sqref="J4" name="区域1_14_5_3"/>
    <protectedRange sqref="J4" name="区域1_50"/>
    <protectedRange sqref="J4" name="区域1_18_6"/>
    <protectedRange sqref="J4" name="区域1_14_3_6"/>
    <protectedRange sqref="J4" name="区域1_32_4"/>
    <protectedRange sqref="J4" name="区域1_14_5_4"/>
    <protectedRange sqref="J4" name="区域1_69"/>
    <protectedRange sqref="J4" name="区域1_18_8"/>
    <protectedRange sqref="J4" name="区域1_14_3_8"/>
    <protectedRange sqref="J4" name="区域1_32_6"/>
    <protectedRange sqref="J4" name="区域1_14_5_6"/>
    <protectedRange sqref="K4" name="区域1_70"/>
    <protectedRange sqref="K4" name="区域1_15_3"/>
    <protectedRange sqref="K4" name="区域1_14_1_3"/>
    <protectedRange sqref="J4" name="区域1_82"/>
    <protectedRange sqref="J4" name="区域1_18_9"/>
    <protectedRange sqref="J4" name="区域1_14_3_9"/>
    <protectedRange sqref="J4" name="区域1_32_7"/>
    <protectedRange sqref="J4" name="区域1_14_5_7"/>
    <protectedRange sqref="J4" name="区域1_89"/>
    <protectedRange sqref="J4" name="区域1_18_10"/>
    <protectedRange sqref="J4" name="区域1_14_3_10"/>
    <protectedRange sqref="J4" name="区域1_32_8"/>
    <protectedRange sqref="J4" name="区域1_14_5_8"/>
    <protectedRange sqref="J4" name="区域1_94"/>
    <protectedRange sqref="J4" name="区域1_18_11"/>
    <protectedRange sqref="J4" name="区域1_14_3_11"/>
    <protectedRange sqref="J4" name="区域1_32_9"/>
    <protectedRange sqref="J4" name="区域1_14_5_9"/>
    <protectedRange sqref="F2" name="区域1_9_1_1_1_1_1"/>
    <protectedRange sqref="G2" name="区域1_9_1_1_1_1_1_1"/>
    <protectedRange sqref="H2" name="区域1_9_1_1_1_1"/>
    <protectedRange sqref="N2" name="区域1_9_1_1_1_1_2_1"/>
    <protectedRange sqref="O2" name="区域1_9_1_1_1_1_2_2"/>
    <protectedRange sqref="F3" name="区域1_10_1"/>
    <protectedRange sqref="G3" name="区域1_10_1_1"/>
    <protectedRange sqref="H3" name="区域1_2_2_1"/>
    <protectedRange sqref="J3" name="区域1_11_2"/>
    <protectedRange sqref="K3" name="区域1_2_2_1_1"/>
    <protectedRange sqref="F4" name="区域1_2_3"/>
    <protectedRange sqref="G4" name="区域1_2_3_1"/>
    <protectedRange sqref="H4" name="区域1_9_1_1_1_1_2_1_2_2_2_1_1"/>
    <protectedRange sqref="O4" name="区域1_2_3_1_1_1_2_1"/>
    <protectedRange sqref="N4" name="区域1_2_3_2_2_1"/>
    <protectedRange sqref="F5" name="区域1_9_1_1_1_1_2_1_2_2_2_1_1_1"/>
    <protectedRange sqref="G5" name="区域1_9_1_1_1_1_2_1_2_2_2_1_1_1_1"/>
    <protectedRange sqref="H5" name="区域1_9_1_1_1_1_2"/>
    <protectedRange sqref="K5" name="区域1_2_2_1_2"/>
    <protectedRange sqref="J5" name="区域1_9_1_1_1_1_2_1_2_2_2_1_2"/>
    <protectedRange sqref="F6" name="区域1_2_3_2"/>
    <protectedRange sqref="G6" name="区域1_2_3_2_1"/>
    <protectedRange sqref="H6" name="区域1_2_3_2_3"/>
    <protectedRange sqref="N6:O6" name="区域1_2_3_2_4"/>
    <protectedRange sqref="F7" name="区域1_2_3_2_3_1"/>
    <protectedRange sqref="G7" name="区域1_2_3_2_3_2"/>
    <protectedRange sqref="H7" name="区域1_9_1_1_1_1_2_1_2_2_2_1_1_1_2"/>
    <protectedRange sqref="J7:K7" name="区域1_2_3_3"/>
  </protectedRanges>
  <phoneticPr fontId="0" type="noConversion"/>
  <pageMargins left="0.7" right="0.7" top="0.75" bottom="0.75" header="0.3" footer="0.3"/>
  <legacyDrawing r:id="rId1"/>
</worksheet>
</file>

<file path=xl/worksheets/sheet9.xml><?xml version="1.0" encoding="utf-8"?>
<worksheet xmlns="http://schemas.openxmlformats.org/spreadsheetml/2006/main" xmlns:r="http://schemas.openxmlformats.org/officeDocument/2006/relationships">
  <sheetPr codeName="Sheet1"/>
  <dimension ref="A1:T19"/>
  <sheetViews>
    <sheetView zoomScale="85" zoomScaleNormal="85" workbookViewId="0">
      <selection activeCell="C30" sqref="C30"/>
    </sheetView>
  </sheetViews>
  <sheetFormatPr defaultRowHeight="13.5"/>
  <cols>
    <col min="1" max="1" width="18.625" customWidth="1"/>
  </cols>
  <sheetData>
    <row r="1" spans="1:20" ht="15" thickTop="1" thickBot="1">
      <c r="A1" t="s">
        <v>713</v>
      </c>
      <c r="B1" t="s">
        <v>706</v>
      </c>
      <c r="C1" t="s">
        <v>705</v>
      </c>
      <c r="D1" t="s">
        <v>667</v>
      </c>
      <c r="E1">
        <v>5.4</v>
      </c>
      <c r="F1">
        <v>38930</v>
      </c>
      <c r="G1" t="s">
        <v>715</v>
      </c>
      <c r="H1">
        <v>3443</v>
      </c>
      <c r="I1" t="s">
        <v>666</v>
      </c>
      <c r="L1" t="s">
        <v>689</v>
      </c>
      <c r="M1" s="51" t="s">
        <v>691</v>
      </c>
      <c r="N1" t="s">
        <v>692</v>
      </c>
      <c r="O1" s="51" t="s">
        <v>694</v>
      </c>
      <c r="P1" t="s">
        <v>695</v>
      </c>
      <c r="Q1" t="s">
        <v>697</v>
      </c>
      <c r="R1" t="s">
        <v>699</v>
      </c>
      <c r="S1" t="s">
        <v>701</v>
      </c>
      <c r="T1" t="s">
        <v>703</v>
      </c>
    </row>
    <row r="2" spans="1:20" ht="14.25" thickBot="1">
      <c r="A2" t="s">
        <v>655</v>
      </c>
      <c r="B2" t="s">
        <v>707</v>
      </c>
      <c r="C2" t="s">
        <v>705</v>
      </c>
      <c r="D2" t="s">
        <v>667</v>
      </c>
      <c r="E2">
        <v>5.39</v>
      </c>
      <c r="F2">
        <v>39203</v>
      </c>
      <c r="G2" t="s">
        <v>722</v>
      </c>
      <c r="H2">
        <v>4019.5</v>
      </c>
      <c r="I2" t="s">
        <v>669</v>
      </c>
      <c r="J2">
        <v>4019</v>
      </c>
      <c r="K2">
        <v>39261</v>
      </c>
      <c r="L2" t="s">
        <v>690</v>
      </c>
      <c r="M2" s="51"/>
      <c r="N2" t="s">
        <v>693</v>
      </c>
      <c r="O2" s="51"/>
      <c r="P2" t="s">
        <v>696</v>
      </c>
      <c r="Q2" t="s">
        <v>698</v>
      </c>
      <c r="R2" t="s">
        <v>700</v>
      </c>
      <c r="S2" t="s">
        <v>702</v>
      </c>
      <c r="T2" t="s">
        <v>704</v>
      </c>
    </row>
    <row r="3" spans="1:20" ht="15" thickTop="1" thickBot="1">
      <c r="A3" t="s">
        <v>723</v>
      </c>
      <c r="B3" t="s">
        <v>706</v>
      </c>
      <c r="C3" t="s">
        <v>705</v>
      </c>
      <c r="D3" t="s">
        <v>667</v>
      </c>
      <c r="E3">
        <v>5.4</v>
      </c>
      <c r="F3">
        <v>39203</v>
      </c>
      <c r="G3" t="s">
        <v>716</v>
      </c>
      <c r="H3">
        <v>3959</v>
      </c>
      <c r="I3" t="s">
        <v>671</v>
      </c>
      <c r="J3">
        <v>4019</v>
      </c>
      <c r="L3" t="s">
        <v>714</v>
      </c>
      <c r="M3" t="str">
        <f>VLOOKUP($L3,$A$1:$H$11,COLUMN(B3),0)</f>
        <v>China</v>
      </c>
      <c r="N3" t="str">
        <f t="shared" ref="N3:S3" si="0">VLOOKUP($L3,$A$1:$H$11,COLUMN(C3),0)</f>
        <v>chemical</v>
      </c>
      <c r="O3" t="str">
        <f t="shared" si="0"/>
        <v>CCS</v>
      </c>
      <c r="P3">
        <f t="shared" si="0"/>
        <v>5.4</v>
      </c>
      <c r="Q3">
        <f t="shared" si="0"/>
        <v>38930</v>
      </c>
      <c r="R3" t="str">
        <f t="shared" si="0"/>
        <v>Zhoushan Dingheng Shipbuilding Co., Ltd</v>
      </c>
      <c r="S3">
        <f t="shared" si="0"/>
        <v>3443</v>
      </c>
    </row>
    <row r="4" spans="1:20" ht="15" thickTop="1" thickBot="1">
      <c r="A4" t="s">
        <v>724</v>
      </c>
      <c r="B4" t="s">
        <v>706</v>
      </c>
      <c r="C4" t="s">
        <v>708</v>
      </c>
      <c r="D4" t="s">
        <v>667</v>
      </c>
      <c r="E4">
        <v>5.4</v>
      </c>
      <c r="F4">
        <v>39753</v>
      </c>
      <c r="G4" t="s">
        <v>715</v>
      </c>
      <c r="H4">
        <v>3865.81</v>
      </c>
      <c r="I4" t="s">
        <v>672</v>
      </c>
      <c r="J4">
        <v>3865</v>
      </c>
      <c r="L4" t="s">
        <v>655</v>
      </c>
      <c r="M4" t="str">
        <f t="shared" ref="M4:M13" si="1">VLOOKUP($L4,$A$1:$H$11,COLUMN(B4),0)</f>
        <v>Hongkong</v>
      </c>
      <c r="N4" t="str">
        <f t="shared" ref="N4:N13" si="2">VLOOKUP($L4,$A$1:$H$11,COLUMN(C4),0)</f>
        <v>chemical</v>
      </c>
      <c r="O4" t="str">
        <f t="shared" ref="O4:O13" si="3">VLOOKUP($L4,$A$1:$H$11,COLUMN(D4),0)</f>
        <v>CCS</v>
      </c>
      <c r="P4">
        <f t="shared" ref="P4:P13" si="4">VLOOKUP($L4,$A$1:$H$11,COLUMN(E4),0)</f>
        <v>5.39</v>
      </c>
      <c r="Q4">
        <f t="shared" ref="Q4:Q13" si="5">VLOOKUP($L4,$A$1:$H$11,COLUMN(F4),0)</f>
        <v>39203</v>
      </c>
      <c r="R4" t="str">
        <f t="shared" ref="R4:R13" si="6">VLOOKUP($L4,$A$1:$H$11,COLUMN(G4),0)</f>
        <v>Zhoushan Dingheng Shipyard</v>
      </c>
      <c r="S4">
        <f t="shared" ref="S4:S13" si="7">VLOOKUP($L4,$A$1:$H$11,COLUMN(H4),0)</f>
        <v>4019.5</v>
      </c>
    </row>
    <row r="5" spans="1:20" ht="15" thickTop="1" thickBot="1">
      <c r="A5" t="s">
        <v>725</v>
      </c>
      <c r="B5" t="s">
        <v>706</v>
      </c>
      <c r="C5" t="s">
        <v>708</v>
      </c>
      <c r="D5" t="s">
        <v>667</v>
      </c>
      <c r="E5">
        <v>5.4</v>
      </c>
      <c r="F5">
        <v>40269</v>
      </c>
      <c r="G5" t="s">
        <v>715</v>
      </c>
      <c r="H5">
        <v>3898.1</v>
      </c>
      <c r="I5" t="s">
        <v>673</v>
      </c>
      <c r="J5">
        <v>3898</v>
      </c>
      <c r="L5" t="s">
        <v>723</v>
      </c>
      <c r="M5" t="str">
        <f t="shared" si="1"/>
        <v>China</v>
      </c>
      <c r="N5" t="str">
        <f t="shared" si="2"/>
        <v>chemical</v>
      </c>
      <c r="O5" t="str">
        <f t="shared" si="3"/>
        <v>CCS</v>
      </c>
      <c r="P5">
        <f t="shared" si="4"/>
        <v>5.4</v>
      </c>
      <c r="Q5">
        <f t="shared" si="5"/>
        <v>39203</v>
      </c>
      <c r="R5" t="str">
        <f t="shared" si="6"/>
        <v>Dingheng shipbuilding Co., LTd</v>
      </c>
      <c r="S5">
        <f t="shared" si="7"/>
        <v>3959</v>
      </c>
    </row>
    <row r="6" spans="1:20" ht="15" thickTop="1" thickBot="1">
      <c r="A6" t="s">
        <v>726</v>
      </c>
      <c r="B6" t="s">
        <v>706</v>
      </c>
      <c r="C6" t="s">
        <v>708</v>
      </c>
      <c r="D6" t="s">
        <v>667</v>
      </c>
      <c r="E6">
        <v>5.4</v>
      </c>
      <c r="F6">
        <v>41000</v>
      </c>
      <c r="G6" t="s">
        <v>715</v>
      </c>
      <c r="H6">
        <v>3913.3</v>
      </c>
      <c r="I6" t="s">
        <v>674</v>
      </c>
      <c r="J6">
        <v>3913</v>
      </c>
      <c r="K6">
        <v>41051</v>
      </c>
      <c r="L6" t="s">
        <v>724</v>
      </c>
      <c r="M6" t="str">
        <f t="shared" si="1"/>
        <v>China</v>
      </c>
      <c r="N6" t="str">
        <f t="shared" si="2"/>
        <v>oil/chemical</v>
      </c>
      <c r="O6" t="str">
        <f t="shared" si="3"/>
        <v>CCS</v>
      </c>
      <c r="P6">
        <f t="shared" si="4"/>
        <v>5.4</v>
      </c>
      <c r="Q6">
        <f t="shared" si="5"/>
        <v>39753</v>
      </c>
      <c r="R6" t="str">
        <f t="shared" si="6"/>
        <v>Zhoushan Dingheng Shipbuilding Co., Ltd</v>
      </c>
      <c r="S6">
        <f t="shared" si="7"/>
        <v>3865.81</v>
      </c>
    </row>
    <row r="7" spans="1:20" ht="15" thickTop="1" thickBot="1">
      <c r="A7" t="s">
        <v>727</v>
      </c>
      <c r="B7" t="s">
        <v>706</v>
      </c>
      <c r="C7" t="s">
        <v>708</v>
      </c>
      <c r="D7" t="s">
        <v>667</v>
      </c>
      <c r="E7">
        <v>4.1500000000000004</v>
      </c>
      <c r="F7">
        <v>42430</v>
      </c>
      <c r="G7" t="s">
        <v>718</v>
      </c>
      <c r="H7">
        <v>2276.6999999999998</v>
      </c>
      <c r="I7" t="s">
        <v>676</v>
      </c>
      <c r="J7">
        <v>2270</v>
      </c>
      <c r="K7">
        <v>42515</v>
      </c>
      <c r="L7" t="s">
        <v>725</v>
      </c>
      <c r="M7" t="str">
        <f t="shared" si="1"/>
        <v>China</v>
      </c>
      <c r="N7" t="str">
        <f t="shared" si="2"/>
        <v>oil/chemical</v>
      </c>
      <c r="O7" t="str">
        <f t="shared" si="3"/>
        <v>CCS</v>
      </c>
      <c r="P7">
        <f t="shared" si="4"/>
        <v>5.4</v>
      </c>
      <c r="Q7">
        <f t="shared" si="5"/>
        <v>40269</v>
      </c>
      <c r="R7" t="str">
        <f t="shared" si="6"/>
        <v>Zhoushan Dingheng Shipbuilding Co., Ltd</v>
      </c>
      <c r="S7">
        <f t="shared" si="7"/>
        <v>3898.1</v>
      </c>
    </row>
    <row r="8" spans="1:20" ht="15" thickTop="1" thickBot="1">
      <c r="A8" t="s">
        <v>728</v>
      </c>
      <c r="B8" t="s">
        <v>706</v>
      </c>
      <c r="C8" t="s">
        <v>708</v>
      </c>
      <c r="D8" t="s">
        <v>667</v>
      </c>
      <c r="E8">
        <v>4.5999999999999996</v>
      </c>
      <c r="F8">
        <v>42644</v>
      </c>
      <c r="G8" t="s">
        <v>717</v>
      </c>
      <c r="H8">
        <v>2238.6999999999998</v>
      </c>
      <c r="I8" t="s">
        <v>677</v>
      </c>
      <c r="J8">
        <v>2237</v>
      </c>
      <c r="K8">
        <v>42738</v>
      </c>
      <c r="L8" t="s">
        <v>726</v>
      </c>
      <c r="M8" t="str">
        <f t="shared" si="1"/>
        <v>China</v>
      </c>
      <c r="N8" t="str">
        <f t="shared" si="2"/>
        <v>oil/chemical</v>
      </c>
      <c r="O8" t="str">
        <f t="shared" si="3"/>
        <v>CCS</v>
      </c>
      <c r="P8">
        <f t="shared" si="4"/>
        <v>5.4</v>
      </c>
      <c r="Q8">
        <f t="shared" si="5"/>
        <v>41000</v>
      </c>
      <c r="R8" t="str">
        <f t="shared" si="6"/>
        <v>Zhoushan Dingheng Shipbuilding Co., Ltd</v>
      </c>
      <c r="S8">
        <f t="shared" si="7"/>
        <v>3913.3</v>
      </c>
    </row>
    <row r="9" spans="1:20" ht="15" thickTop="1" thickBot="1">
      <c r="A9" t="s">
        <v>729</v>
      </c>
      <c r="B9" t="s">
        <v>706</v>
      </c>
      <c r="C9" t="s">
        <v>705</v>
      </c>
      <c r="D9" t="s">
        <v>667</v>
      </c>
      <c r="E9">
        <v>4.99</v>
      </c>
      <c r="F9">
        <v>39052</v>
      </c>
      <c r="G9" t="s">
        <v>720</v>
      </c>
      <c r="H9">
        <v>3183</v>
      </c>
      <c r="I9" t="s">
        <v>678</v>
      </c>
      <c r="J9">
        <v>3183</v>
      </c>
      <c r="K9">
        <v>39125</v>
      </c>
      <c r="L9" t="s">
        <v>727</v>
      </c>
      <c r="M9" t="str">
        <f t="shared" si="1"/>
        <v>China</v>
      </c>
      <c r="N9" t="str">
        <f t="shared" si="2"/>
        <v>oil/chemical</v>
      </c>
      <c r="O9" t="str">
        <f t="shared" si="3"/>
        <v>CCS</v>
      </c>
      <c r="P9">
        <f t="shared" si="4"/>
        <v>4.1500000000000004</v>
      </c>
      <c r="Q9">
        <f t="shared" si="5"/>
        <v>42430</v>
      </c>
      <c r="R9" t="str">
        <f t="shared" si="6"/>
        <v>Ningbo Zhenhe shipbuilding Co., LTd</v>
      </c>
      <c r="S9">
        <f t="shared" si="7"/>
        <v>2276.6999999999998</v>
      </c>
    </row>
    <row r="10" spans="1:20" ht="15" thickTop="1" thickBot="1">
      <c r="A10" t="s">
        <v>656</v>
      </c>
      <c r="B10" t="s">
        <v>706</v>
      </c>
      <c r="C10" t="s">
        <v>705</v>
      </c>
      <c r="D10" t="s">
        <v>667</v>
      </c>
      <c r="E10">
        <v>4.99</v>
      </c>
      <c r="F10">
        <v>39114</v>
      </c>
      <c r="G10" t="s">
        <v>721</v>
      </c>
      <c r="H10">
        <v>3183.5</v>
      </c>
      <c r="I10" t="s">
        <v>679</v>
      </c>
      <c r="J10">
        <v>3183</v>
      </c>
      <c r="K10">
        <v>39059</v>
      </c>
      <c r="L10" t="s">
        <v>728</v>
      </c>
      <c r="M10" t="str">
        <f t="shared" si="1"/>
        <v>China</v>
      </c>
      <c r="N10" t="str">
        <f t="shared" si="2"/>
        <v>oil/chemical</v>
      </c>
      <c r="O10" t="str">
        <f t="shared" si="3"/>
        <v>CCS</v>
      </c>
      <c r="P10">
        <f t="shared" si="4"/>
        <v>4.5999999999999996</v>
      </c>
      <c r="Q10">
        <f t="shared" si="5"/>
        <v>42644</v>
      </c>
      <c r="R10" t="str">
        <f t="shared" si="6"/>
        <v>Nantong tongbao Shipbuilding Co.,Ltd.,China</v>
      </c>
      <c r="S10">
        <f t="shared" si="7"/>
        <v>2238.6999999999998</v>
      </c>
    </row>
    <row r="11" spans="1:20" ht="15" thickTop="1" thickBot="1">
      <c r="A11" t="s">
        <v>657</v>
      </c>
      <c r="B11" t="s">
        <v>706</v>
      </c>
      <c r="C11" t="s">
        <v>705</v>
      </c>
      <c r="D11" t="s">
        <v>681</v>
      </c>
      <c r="E11">
        <v>4.5999999999999996</v>
      </c>
      <c r="F11">
        <v>38443</v>
      </c>
      <c r="G11" t="s">
        <v>719</v>
      </c>
      <c r="H11">
        <v>2352.7800000000002</v>
      </c>
      <c r="I11" t="s">
        <v>680</v>
      </c>
      <c r="J11">
        <v>2353</v>
      </c>
      <c r="K11">
        <v>38443</v>
      </c>
      <c r="L11" t="s">
        <v>729</v>
      </c>
      <c r="M11" t="str">
        <f t="shared" si="1"/>
        <v>China</v>
      </c>
      <c r="N11" t="str">
        <f t="shared" si="2"/>
        <v>chemical</v>
      </c>
      <c r="O11" t="str">
        <f t="shared" si="3"/>
        <v>CCS</v>
      </c>
      <c r="P11">
        <f t="shared" si="4"/>
        <v>4.99</v>
      </c>
      <c r="Q11">
        <f t="shared" si="5"/>
        <v>39052</v>
      </c>
      <c r="R11" t="str">
        <f t="shared" si="6"/>
        <v xml:space="preserve">LIUHENG DONGPENG SHIPYARD </v>
      </c>
      <c r="S11">
        <f t="shared" si="7"/>
        <v>3183</v>
      </c>
    </row>
    <row r="12" spans="1:20" ht="15" thickTop="1" thickBot="1">
      <c r="A12" t="s">
        <v>658</v>
      </c>
      <c r="B12" t="s">
        <v>668</v>
      </c>
      <c r="E12" t="s">
        <v>709</v>
      </c>
      <c r="F12" t="s">
        <v>710</v>
      </c>
      <c r="G12" t="s">
        <v>711</v>
      </c>
      <c r="H12" t="s">
        <v>712</v>
      </c>
      <c r="L12" t="s">
        <v>656</v>
      </c>
      <c r="M12" t="str">
        <f t="shared" si="1"/>
        <v>China</v>
      </c>
      <c r="N12" t="str">
        <f t="shared" si="2"/>
        <v>chemical</v>
      </c>
      <c r="O12" t="str">
        <f t="shared" si="3"/>
        <v>CCS</v>
      </c>
      <c r="P12">
        <f t="shared" si="4"/>
        <v>4.99</v>
      </c>
      <c r="Q12">
        <f t="shared" si="5"/>
        <v>39114</v>
      </c>
      <c r="R12" t="str">
        <f t="shared" si="6"/>
        <v>LAN TIAN Shipyard  Ltd,CHINA</v>
      </c>
      <c r="S12">
        <f t="shared" si="7"/>
        <v>3183.5</v>
      </c>
    </row>
    <row r="13" spans="1:20" ht="15" thickTop="1" thickBot="1">
      <c r="A13" t="s">
        <v>659</v>
      </c>
      <c r="B13" t="s">
        <v>670</v>
      </c>
      <c r="L13" t="s">
        <v>657</v>
      </c>
      <c r="M13" t="str">
        <f t="shared" si="1"/>
        <v>China</v>
      </c>
      <c r="N13" t="str">
        <f t="shared" si="2"/>
        <v>chemical</v>
      </c>
      <c r="O13" t="str">
        <f t="shared" si="3"/>
        <v>ZC</v>
      </c>
      <c r="P13">
        <f t="shared" si="4"/>
        <v>4.5999999999999996</v>
      </c>
      <c r="Q13">
        <f t="shared" si="5"/>
        <v>38443</v>
      </c>
      <c r="R13" t="str">
        <f t="shared" si="6"/>
        <v>shengjiamen shipbuilding co., ltd, putuo region , zhoushan capital , china .</v>
      </c>
      <c r="S13">
        <f t="shared" si="7"/>
        <v>2352.7800000000002</v>
      </c>
    </row>
    <row r="14" spans="1:20" ht="14.25" thickBot="1">
      <c r="A14" t="s">
        <v>660</v>
      </c>
      <c r="B14" t="s">
        <v>670</v>
      </c>
    </row>
    <row r="15" spans="1:20" ht="14.25" thickBot="1">
      <c r="A15" t="s">
        <v>661</v>
      </c>
      <c r="B15" t="s">
        <v>670</v>
      </c>
    </row>
    <row r="16" spans="1:20" ht="14.25" thickBot="1">
      <c r="A16" t="s">
        <v>662</v>
      </c>
      <c r="B16" t="s">
        <v>670</v>
      </c>
    </row>
    <row r="17" spans="1:9" ht="14.25" thickBot="1">
      <c r="A17" t="s">
        <v>663</v>
      </c>
      <c r="B17" t="s">
        <v>670</v>
      </c>
      <c r="C17" t="s">
        <v>675</v>
      </c>
      <c r="D17" t="s">
        <v>683</v>
      </c>
      <c r="E17" t="s">
        <v>670</v>
      </c>
      <c r="F17">
        <v>40026</v>
      </c>
      <c r="G17">
        <v>17055</v>
      </c>
      <c r="H17" t="s">
        <v>682</v>
      </c>
      <c r="I17" t="s">
        <v>684</v>
      </c>
    </row>
    <row r="18" spans="1:9" ht="14.25" thickBot="1">
      <c r="A18" t="s">
        <v>664</v>
      </c>
      <c r="B18" t="s">
        <v>670</v>
      </c>
      <c r="C18" t="s">
        <v>686</v>
      </c>
      <c r="D18" t="s">
        <v>687</v>
      </c>
      <c r="E18" t="s">
        <v>670</v>
      </c>
      <c r="F18">
        <v>43070</v>
      </c>
      <c r="G18">
        <v>8500</v>
      </c>
      <c r="H18" t="s">
        <v>682</v>
      </c>
      <c r="I18" t="s">
        <v>685</v>
      </c>
    </row>
    <row r="19" spans="1:9" ht="14.25" thickBot="1">
      <c r="A19" t="s">
        <v>665</v>
      </c>
      <c r="B19" t="s">
        <v>670</v>
      </c>
      <c r="C19" t="s">
        <v>686</v>
      </c>
      <c r="D19" t="s">
        <v>683</v>
      </c>
      <c r="E19" t="s">
        <v>670</v>
      </c>
      <c r="F19">
        <v>43040</v>
      </c>
      <c r="G19">
        <v>13204</v>
      </c>
      <c r="H19" t="s">
        <v>682</v>
      </c>
      <c r="I19" t="s">
        <v>688</v>
      </c>
    </row>
  </sheetData>
  <mergeCells count="2">
    <mergeCell ref="M1:M2"/>
    <mergeCell ref="O1:O2"/>
  </mergeCells>
  <phoneticPr fontId="0" type="noConversion"/>
  <hyperlinks>
    <hyperlink ref="I1" r:id="rId1" display="http://www.dinghengshipping.com/Upload/鼎衡114372472032-15432277046.doc"/>
    <hyperlink ref="I2" r:id="rId2" display="http://www.dinghengshipping.com/Upload/鼎衡214383568830(1)-15440428502.doc"/>
    <hyperlink ref="I3" r:id="rId3" display="http://www.dinghengshipping.com/Upload/鼎衡314390220499-15442072442.doc"/>
    <hyperlink ref="I4" r:id="rId4" display="http://www.dinghengshipping.com/Upload/鼎衡514392261173-15443763209.doc"/>
    <hyperlink ref="I5" r:id="rId5" display="http://www.dinghengshipping.com/Upload/鼎衡914400451280-15445540573.doc"/>
    <hyperlink ref="I6" r:id="rId6" display="http://www.dinghengshipping.com/Upload/鼎衡1014402540721-15451335394.doc"/>
    <hyperlink ref="I7" r:id="rId7" display="http://www.dinghengshipping.com/Upload/鼎衡1514410564204-15452871829.doc"/>
    <hyperlink ref="I8" r:id="rId8" display="http://www.dinghengshipping.com/Upload/鼎衡1614414747986(1)-15454480254.doc"/>
    <hyperlink ref="I9" r:id="rId9" display="http://www.dinghengshipping.com/Upload/鼎衡1714422485272-15460264319.doc"/>
    <hyperlink ref="I10" r:id="rId10" display="http://www.dinghengshipping.com/Upload/鼎衡1814424864200-15461757936.doc"/>
    <hyperlink ref="I11" r:id="rId11" display="http://www.dinghengshipping.com/Upload/建兴3214430912608-15463944409.doc"/>
    <hyperlink ref="I17" r:id="rId12" display="http://www.dinghengshipping.com/Upload/DHANGEL11PARTICULARS09011813446(1)-15483326839.docx"/>
    <hyperlink ref="I18" r:id="rId13" display="http://www.dinghengshipping.com/Upload/8,500DWT14453918052-15325534785.doc"/>
    <hyperlink ref="I19" r:id="rId14" display="http://www.dinghengshipping.com/Upload/DHEPOCHQ88(正确)(1)-16052059236.docx"/>
  </hyperlinks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>
  <sheetPr codeName="Sheet5"/>
  <dimension ref="A1:F107"/>
  <sheetViews>
    <sheetView workbookViewId="0">
      <selection activeCell="B69" sqref="A26:B79"/>
    </sheetView>
  </sheetViews>
  <sheetFormatPr defaultRowHeight="13.5"/>
  <sheetData>
    <row r="1" spans="1:6">
      <c r="A1" s="3" t="s">
        <v>757</v>
      </c>
      <c r="B1" s="3" t="s">
        <v>765</v>
      </c>
      <c r="D1" t="str">
        <f t="shared" ref="D1:E7" ca="1" si="0">INDEX(A:A,RANDBETWEEN(1,COUNTA(A:A)))</f>
        <v>洋葱</v>
      </c>
      <c r="E1" s="3" t="str">
        <f t="shared" ca="1" si="0"/>
        <v>鸡蛋</v>
      </c>
    </row>
    <row r="2" spans="1:6">
      <c r="A2" s="3" t="s">
        <v>758</v>
      </c>
      <c r="B2" s="3" t="s">
        <v>766</v>
      </c>
      <c r="D2" s="3" t="str">
        <f t="shared" ca="1" si="0"/>
        <v>土豆</v>
      </c>
      <c r="E2" s="3" t="str">
        <f t="shared" ca="1" si="0"/>
        <v>鸡蛋</v>
      </c>
    </row>
    <row r="3" spans="1:6">
      <c r="A3" s="3" t="s">
        <v>759</v>
      </c>
      <c r="B3" s="3" t="s">
        <v>767</v>
      </c>
      <c r="D3" s="3" t="str">
        <f t="shared" ca="1" si="0"/>
        <v>茄子</v>
      </c>
      <c r="E3" s="3" t="str">
        <f t="shared" ca="1" si="0"/>
        <v>小排</v>
      </c>
      <c r="F3">
        <v>1</v>
      </c>
    </row>
    <row r="4" spans="1:6">
      <c r="A4" s="3" t="s">
        <v>760</v>
      </c>
      <c r="B4" s="3" t="s">
        <v>768</v>
      </c>
      <c r="D4" s="3" t="str">
        <f t="shared" ca="1" si="0"/>
        <v>丝瓜</v>
      </c>
      <c r="E4" s="3" t="str">
        <f t="shared" ca="1" si="0"/>
        <v>鸡蛋</v>
      </c>
      <c r="F4">
        <v>1</v>
      </c>
    </row>
    <row r="5" spans="1:6">
      <c r="A5" s="3" t="s">
        <v>761</v>
      </c>
      <c r="B5" s="3" t="s">
        <v>769</v>
      </c>
      <c r="D5" s="3" t="str">
        <f t="shared" ca="1" si="0"/>
        <v>番茄</v>
      </c>
      <c r="E5" s="3" t="str">
        <f t="shared" ca="1" si="0"/>
        <v>肉片</v>
      </c>
      <c r="F5">
        <v>1</v>
      </c>
    </row>
    <row r="6" spans="1:6">
      <c r="A6" s="3" t="s">
        <v>762</v>
      </c>
      <c r="B6" s="3" t="s">
        <v>770</v>
      </c>
      <c r="D6" s="3" t="str">
        <f t="shared" ca="1" si="0"/>
        <v>洋葱</v>
      </c>
      <c r="E6" s="3" t="str">
        <f t="shared" ca="1" si="0"/>
        <v>小排</v>
      </c>
      <c r="F6">
        <v>1</v>
      </c>
    </row>
    <row r="7" spans="1:6">
      <c r="A7" s="3" t="s">
        <v>763</v>
      </c>
      <c r="B7" s="3" t="s">
        <v>771</v>
      </c>
      <c r="D7" s="3" t="str">
        <f t="shared" ca="1" si="0"/>
        <v>青菜</v>
      </c>
      <c r="E7" s="3" t="str">
        <f t="shared" ca="1" si="0"/>
        <v>小排</v>
      </c>
      <c r="F7">
        <v>1</v>
      </c>
    </row>
    <row r="8" spans="1:6">
      <c r="A8" s="3" t="s">
        <v>764</v>
      </c>
      <c r="B8" s="3" t="s">
        <v>772</v>
      </c>
    </row>
    <row r="9" spans="1:6">
      <c r="A9" s="9" t="s">
        <v>869</v>
      </c>
      <c r="B9" s="3" t="s">
        <v>773</v>
      </c>
    </row>
    <row r="19" spans="1:1" ht="14.25">
      <c r="A19" s="29"/>
    </row>
    <row r="20" spans="1:1" ht="14.25">
      <c r="A20" s="27"/>
    </row>
    <row r="21" spans="1:1" ht="14.25">
      <c r="A21" s="27"/>
    </row>
    <row r="22" spans="1:1" ht="14.25">
      <c r="A22" s="27"/>
    </row>
    <row r="23" spans="1:1" ht="14.25">
      <c r="A23" s="27"/>
    </row>
    <row r="24" spans="1:1" ht="14.25">
      <c r="A24" s="27"/>
    </row>
    <row r="25" spans="1:1" ht="14.25">
      <c r="A25" s="27"/>
    </row>
    <row r="26" spans="1:1">
      <c r="A26" s="30"/>
    </row>
    <row r="27" spans="1:1">
      <c r="A27" s="30"/>
    </row>
    <row r="28" spans="1:1">
      <c r="A28" s="30"/>
    </row>
    <row r="29" spans="1:1">
      <c r="A29" s="30"/>
    </row>
    <row r="30" spans="1:1">
      <c r="A30" s="30"/>
    </row>
    <row r="31" spans="1:1">
      <c r="A31" s="30"/>
    </row>
    <row r="32" spans="1:1">
      <c r="A32" s="30"/>
    </row>
    <row r="33" spans="1:1">
      <c r="A33" s="30"/>
    </row>
    <row r="34" spans="1:1">
      <c r="A34" s="30"/>
    </row>
    <row r="35" spans="1:1">
      <c r="A35" s="30"/>
    </row>
    <row r="36" spans="1:1">
      <c r="A36" s="30"/>
    </row>
    <row r="37" spans="1:1">
      <c r="A37" s="30"/>
    </row>
    <row r="38" spans="1:1">
      <c r="A38" s="30"/>
    </row>
    <row r="39" spans="1:1">
      <c r="A39" s="30"/>
    </row>
    <row r="40" spans="1:1">
      <c r="A40" s="30"/>
    </row>
    <row r="41" spans="1:1">
      <c r="A41" s="30"/>
    </row>
    <row r="42" spans="1:1">
      <c r="A42" s="30"/>
    </row>
    <row r="43" spans="1:1">
      <c r="A43" s="30"/>
    </row>
    <row r="44" spans="1:1">
      <c r="A44" s="30"/>
    </row>
    <row r="45" spans="1:1">
      <c r="A45" s="30"/>
    </row>
    <row r="46" spans="1:1">
      <c r="A46" s="30"/>
    </row>
    <row r="47" spans="1:1">
      <c r="A47" s="30"/>
    </row>
    <row r="48" spans="1:1">
      <c r="A48" s="30"/>
    </row>
    <row r="49" spans="1:1">
      <c r="A49" s="30"/>
    </row>
    <row r="50" spans="1:1">
      <c r="A50" s="30"/>
    </row>
    <row r="51" spans="1:1">
      <c r="A51" s="30"/>
    </row>
    <row r="52" spans="1:1">
      <c r="A52" s="30"/>
    </row>
    <row r="53" spans="1:1">
      <c r="A53" s="30"/>
    </row>
    <row r="54" spans="1:1">
      <c r="A54" s="30"/>
    </row>
    <row r="55" spans="1:1">
      <c r="A55" s="30"/>
    </row>
    <row r="56" spans="1:1">
      <c r="A56" s="30"/>
    </row>
    <row r="57" spans="1:1">
      <c r="A57" s="30"/>
    </row>
    <row r="58" spans="1:1">
      <c r="A58" s="30"/>
    </row>
    <row r="59" spans="1:1">
      <c r="A59" s="30"/>
    </row>
    <row r="60" spans="1:1">
      <c r="A60" s="30"/>
    </row>
    <row r="61" spans="1:1">
      <c r="A61" s="30"/>
    </row>
    <row r="62" spans="1:1">
      <c r="A62" s="30"/>
    </row>
    <row r="63" spans="1:1">
      <c r="A63" s="30"/>
    </row>
    <row r="64" spans="1:1">
      <c r="A64" s="30"/>
    </row>
    <row r="65" spans="1:1">
      <c r="A65" s="30"/>
    </row>
    <row r="66" spans="1:1">
      <c r="A66" s="30"/>
    </row>
    <row r="67" spans="1:1">
      <c r="A67" s="30"/>
    </row>
    <row r="68" spans="1:1">
      <c r="A68" s="30"/>
    </row>
    <row r="69" spans="1:1">
      <c r="A69" s="30"/>
    </row>
    <row r="70" spans="1:1">
      <c r="A70" s="30"/>
    </row>
    <row r="71" spans="1:1">
      <c r="A71" s="30"/>
    </row>
    <row r="72" spans="1:1">
      <c r="A72" s="30"/>
    </row>
    <row r="73" spans="1:1">
      <c r="A73" s="30"/>
    </row>
    <row r="74" spans="1:1">
      <c r="A74" s="30"/>
    </row>
    <row r="75" spans="1:1">
      <c r="A75" s="30"/>
    </row>
    <row r="76" spans="1:1">
      <c r="A76" s="30"/>
    </row>
    <row r="77" spans="1:1">
      <c r="A77" s="30"/>
    </row>
    <row r="78" spans="1:1">
      <c r="A78" s="30"/>
    </row>
    <row r="79" spans="1:1">
      <c r="A79" s="30"/>
    </row>
    <row r="80" spans="1:1" ht="14.25">
      <c r="A80" s="27"/>
    </row>
    <row r="81" spans="1:1" ht="14.25">
      <c r="A81" s="27"/>
    </row>
    <row r="82" spans="1:1" ht="14.25">
      <c r="A82" s="27"/>
    </row>
    <row r="83" spans="1:1" ht="14.25">
      <c r="A83" s="27"/>
    </row>
    <row r="84" spans="1:1" ht="14.25">
      <c r="A84" s="27"/>
    </row>
    <row r="85" spans="1:1" ht="14.25">
      <c r="A85" s="27"/>
    </row>
    <row r="86" spans="1:1" ht="14.25">
      <c r="A86" s="27"/>
    </row>
    <row r="87" spans="1:1" ht="14.25">
      <c r="A87" s="27"/>
    </row>
    <row r="88" spans="1:1" ht="14.25">
      <c r="A88" s="27"/>
    </row>
    <row r="89" spans="1:1">
      <c r="A89" s="28"/>
    </row>
    <row r="90" spans="1:1" ht="14.25">
      <c r="A90" s="27"/>
    </row>
    <row r="91" spans="1:1" ht="14.25">
      <c r="A91" s="27"/>
    </row>
    <row r="92" spans="1:1" ht="14.25">
      <c r="A92" s="27"/>
    </row>
    <row r="93" spans="1:1" ht="14.25">
      <c r="A93" s="27"/>
    </row>
    <row r="94" spans="1:1" ht="14.25">
      <c r="A94" s="27"/>
    </row>
    <row r="95" spans="1:1" ht="14.25">
      <c r="A95" s="27"/>
    </row>
    <row r="96" spans="1:1" ht="14.25">
      <c r="A96" s="27"/>
    </row>
    <row r="97" spans="1:1" ht="14.25">
      <c r="A97" s="27"/>
    </row>
    <row r="98" spans="1:1" ht="14.25">
      <c r="A98" s="27"/>
    </row>
    <row r="99" spans="1:1" ht="14.25">
      <c r="A99" s="27"/>
    </row>
    <row r="100" spans="1:1" ht="14.25">
      <c r="A100" s="27"/>
    </row>
    <row r="101" spans="1:1" ht="14.25">
      <c r="A101" s="27"/>
    </row>
    <row r="102" spans="1:1" ht="14.25">
      <c r="A102" s="27"/>
    </row>
    <row r="103" spans="1:1" ht="14.25">
      <c r="A103" s="27"/>
    </row>
    <row r="104" spans="1:1" ht="14.25">
      <c r="A104" s="27"/>
    </row>
    <row r="105" spans="1:1" ht="14.25">
      <c r="A105" s="27"/>
    </row>
    <row r="106" spans="1:1" ht="14.25">
      <c r="A106" s="27"/>
    </row>
    <row r="107" spans="1:1" ht="14.25">
      <c r="A107" s="27"/>
    </row>
  </sheetData>
  <phoneticPr fontId="23" type="noConversion"/>
  <pageMargins left="0.7" right="0.7" top="0.75" bottom="0.75" header="0.3" footer="0.3"/>
  <pageSetup paperSize="9" orientation="portrait" horizontalDpi="300" verticalDpi="300" r:id="rId1"/>
</worksheet>
</file>

<file path=xl/worksheets/sheet11.xml><?xml version="1.0" encoding="utf-8"?>
<worksheet xmlns="http://schemas.openxmlformats.org/spreadsheetml/2006/main" xmlns:r="http://schemas.openxmlformats.org/officeDocument/2006/relationships">
  <sheetPr codeName="Sheet6"/>
  <dimension ref="A1"/>
  <sheetViews>
    <sheetView workbookViewId="0">
      <selection activeCell="A11" sqref="A11"/>
    </sheetView>
  </sheetViews>
  <sheetFormatPr defaultRowHeight="13.5"/>
  <sheetData/>
  <phoneticPr fontId="23" type="noConversion"/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>
  <sheetPr codeName="Sheet7"/>
  <dimension ref="A1:A101"/>
  <sheetViews>
    <sheetView topLeftCell="A10" workbookViewId="0">
      <selection activeCell="C8" sqref="C8"/>
    </sheetView>
  </sheetViews>
  <sheetFormatPr defaultRowHeight="13.5"/>
  <sheetData>
    <row r="1" spans="1:1">
      <c r="A1" t="s">
        <v>787</v>
      </c>
    </row>
    <row r="2" spans="1:1">
      <c r="A2" t="s">
        <v>788</v>
      </c>
    </row>
    <row r="3" spans="1:1">
      <c r="A3" t="s">
        <v>789</v>
      </c>
    </row>
    <row r="4" spans="1:1">
      <c r="A4" t="s">
        <v>790</v>
      </c>
    </row>
    <row r="5" spans="1:1">
      <c r="A5" t="s">
        <v>791</v>
      </c>
    </row>
    <row r="6" spans="1:1">
      <c r="A6" t="s">
        <v>787</v>
      </c>
    </row>
    <row r="7" spans="1:1">
      <c r="A7" t="s">
        <v>793</v>
      </c>
    </row>
    <row r="8" spans="1:1">
      <c r="A8" t="s">
        <v>794</v>
      </c>
    </row>
    <row r="9" spans="1:1">
      <c r="A9" t="s">
        <v>795</v>
      </c>
    </row>
    <row r="10" spans="1:1">
      <c r="A10" t="s">
        <v>796</v>
      </c>
    </row>
    <row r="11" spans="1:1">
      <c r="A11" t="s">
        <v>792</v>
      </c>
    </row>
    <row r="12" spans="1:1">
      <c r="A12" t="s">
        <v>797</v>
      </c>
    </row>
    <row r="13" spans="1:1">
      <c r="A13" t="s">
        <v>798</v>
      </c>
    </row>
    <row r="14" spans="1:1">
      <c r="A14" t="s">
        <v>799</v>
      </c>
    </row>
    <row r="15" spans="1:1">
      <c r="A15" t="s">
        <v>800</v>
      </c>
    </row>
    <row r="16" spans="1:1">
      <c r="A16" t="s">
        <v>787</v>
      </c>
    </row>
    <row r="17" spans="1:1">
      <c r="A17" t="s">
        <v>801</v>
      </c>
    </row>
    <row r="18" spans="1:1">
      <c r="A18" t="s">
        <v>802</v>
      </c>
    </row>
    <row r="19" spans="1:1">
      <c r="A19" t="s">
        <v>803</v>
      </c>
    </row>
    <row r="20" spans="1:1">
      <c r="A20" t="s">
        <v>804</v>
      </c>
    </row>
    <row r="21" spans="1:1">
      <c r="A21" t="s">
        <v>797</v>
      </c>
    </row>
    <row r="22" spans="1:1">
      <c r="A22" t="s">
        <v>805</v>
      </c>
    </row>
    <row r="23" spans="1:1">
      <c r="A23" t="s">
        <v>806</v>
      </c>
    </row>
    <row r="24" spans="1:1">
      <c r="A24" t="s">
        <v>807</v>
      </c>
    </row>
    <row r="25" spans="1:1">
      <c r="A25" t="s">
        <v>787</v>
      </c>
    </row>
    <row r="26" spans="1:1">
      <c r="A26" t="s">
        <v>808</v>
      </c>
    </row>
    <row r="27" spans="1:1">
      <c r="A27" t="s">
        <v>809</v>
      </c>
    </row>
    <row r="28" spans="1:1">
      <c r="A28" t="s">
        <v>810</v>
      </c>
    </row>
    <row r="29" spans="1:1">
      <c r="A29" t="s">
        <v>811</v>
      </c>
    </row>
    <row r="30" spans="1:1">
      <c r="A30" t="s">
        <v>797</v>
      </c>
    </row>
    <row r="31" spans="1:1">
      <c r="A31" t="s">
        <v>812</v>
      </c>
    </row>
    <row r="32" spans="1:1">
      <c r="A32" t="s">
        <v>813</v>
      </c>
    </row>
    <row r="33" spans="1:1">
      <c r="A33" t="s">
        <v>814</v>
      </c>
    </row>
    <row r="34" spans="1:1">
      <c r="A34" t="s">
        <v>787</v>
      </c>
    </row>
    <row r="35" spans="1:1">
      <c r="A35" t="s">
        <v>815</v>
      </c>
    </row>
    <row r="36" spans="1:1">
      <c r="A36" t="s">
        <v>816</v>
      </c>
    </row>
    <row r="37" spans="1:1">
      <c r="A37" t="s">
        <v>817</v>
      </c>
    </row>
    <row r="38" spans="1:1">
      <c r="A38" t="s">
        <v>818</v>
      </c>
    </row>
    <row r="39" spans="1:1">
      <c r="A39" t="s">
        <v>787</v>
      </c>
    </row>
    <row r="40" spans="1:1">
      <c r="A40" t="s">
        <v>819</v>
      </c>
    </row>
    <row r="41" spans="1:1">
      <c r="A41" t="s">
        <v>820</v>
      </c>
    </row>
    <row r="42" spans="1:1">
      <c r="A42" t="s">
        <v>821</v>
      </c>
    </row>
    <row r="43" spans="1:1">
      <c r="A43" t="s">
        <v>822</v>
      </c>
    </row>
    <row r="44" spans="1:1">
      <c r="A44" t="s">
        <v>787</v>
      </c>
    </row>
    <row r="45" spans="1:1">
      <c r="A45" t="s">
        <v>823</v>
      </c>
    </row>
    <row r="46" spans="1:1">
      <c r="A46" t="s">
        <v>824</v>
      </c>
    </row>
    <row r="47" spans="1:1">
      <c r="A47" t="s">
        <v>825</v>
      </c>
    </row>
    <row r="48" spans="1:1">
      <c r="A48" t="s">
        <v>826</v>
      </c>
    </row>
    <row r="49" spans="1:1">
      <c r="A49" t="s">
        <v>787</v>
      </c>
    </row>
    <row r="50" spans="1:1">
      <c r="A50" t="s">
        <v>827</v>
      </c>
    </row>
    <row r="51" spans="1:1">
      <c r="A51" t="s">
        <v>828</v>
      </c>
    </row>
    <row r="52" spans="1:1">
      <c r="A52" t="s">
        <v>829</v>
      </c>
    </row>
    <row r="53" spans="1:1">
      <c r="A53" t="s">
        <v>830</v>
      </c>
    </row>
    <row r="54" spans="1:1">
      <c r="A54" t="s">
        <v>787</v>
      </c>
    </row>
    <row r="55" spans="1:1">
      <c r="A55" t="s">
        <v>831</v>
      </c>
    </row>
    <row r="56" spans="1:1">
      <c r="A56" t="s">
        <v>832</v>
      </c>
    </row>
    <row r="57" spans="1:1">
      <c r="A57" t="s">
        <v>833</v>
      </c>
    </row>
    <row r="58" spans="1:1">
      <c r="A58" t="s">
        <v>834</v>
      </c>
    </row>
    <row r="59" spans="1:1">
      <c r="A59" t="s">
        <v>835</v>
      </c>
    </row>
    <row r="60" spans="1:1">
      <c r="A60" t="s">
        <v>836</v>
      </c>
    </row>
    <row r="61" spans="1:1">
      <c r="A61" t="s">
        <v>837</v>
      </c>
    </row>
    <row r="62" spans="1:1">
      <c r="A62" t="s">
        <v>838</v>
      </c>
    </row>
    <row r="63" spans="1:1">
      <c r="A63" t="s">
        <v>787</v>
      </c>
    </row>
    <row r="64" spans="1:1">
      <c r="A64" t="s">
        <v>839</v>
      </c>
    </row>
    <row r="65" spans="1:1">
      <c r="A65" t="s">
        <v>840</v>
      </c>
    </row>
    <row r="66" spans="1:1">
      <c r="A66" t="s">
        <v>841</v>
      </c>
    </row>
    <row r="67" spans="1:1">
      <c r="A67" t="s">
        <v>842</v>
      </c>
    </row>
    <row r="68" spans="1:1">
      <c r="A68" t="s">
        <v>787</v>
      </c>
    </row>
    <row r="69" spans="1:1">
      <c r="A69" t="s">
        <v>843</v>
      </c>
    </row>
    <row r="70" spans="1:1">
      <c r="A70" t="s">
        <v>844</v>
      </c>
    </row>
    <row r="71" spans="1:1">
      <c r="A71" t="s">
        <v>845</v>
      </c>
    </row>
    <row r="72" spans="1:1">
      <c r="A72" t="s">
        <v>846</v>
      </c>
    </row>
    <row r="73" spans="1:1">
      <c r="A73" t="s">
        <v>787</v>
      </c>
    </row>
    <row r="74" spans="1:1">
      <c r="A74" t="s">
        <v>847</v>
      </c>
    </row>
    <row r="75" spans="1:1">
      <c r="A75" t="s">
        <v>848</v>
      </c>
    </row>
    <row r="76" spans="1:1">
      <c r="A76" t="s">
        <v>849</v>
      </c>
    </row>
    <row r="77" spans="1:1">
      <c r="A77" t="s">
        <v>850</v>
      </c>
    </row>
    <row r="78" spans="1:1">
      <c r="A78" t="s">
        <v>835</v>
      </c>
    </row>
    <row r="79" spans="1:1">
      <c r="A79" t="s">
        <v>851</v>
      </c>
    </row>
    <row r="80" spans="1:1">
      <c r="A80" t="s">
        <v>852</v>
      </c>
    </row>
    <row r="81" spans="1:1">
      <c r="A81" t="s">
        <v>853</v>
      </c>
    </row>
    <row r="82" spans="1:1">
      <c r="A82" t="s">
        <v>787</v>
      </c>
    </row>
    <row r="83" spans="1:1">
      <c r="A83" t="s">
        <v>854</v>
      </c>
    </row>
    <row r="84" spans="1:1">
      <c r="A84" t="s">
        <v>855</v>
      </c>
    </row>
    <row r="85" spans="1:1">
      <c r="A85" t="s">
        <v>856</v>
      </c>
    </row>
    <row r="86" spans="1:1">
      <c r="A86" t="s">
        <v>857</v>
      </c>
    </row>
    <row r="87" spans="1:1">
      <c r="A87" t="s">
        <v>835</v>
      </c>
    </row>
    <row r="88" spans="1:1">
      <c r="A88" t="s">
        <v>858</v>
      </c>
    </row>
    <row r="89" spans="1:1">
      <c r="A89" t="s">
        <v>859</v>
      </c>
    </row>
    <row r="90" spans="1:1">
      <c r="A90" t="s">
        <v>860</v>
      </c>
    </row>
    <row r="91" spans="1:1">
      <c r="A91" t="s">
        <v>787</v>
      </c>
    </row>
    <row r="92" spans="1:1">
      <c r="A92" t="s">
        <v>861</v>
      </c>
    </row>
    <row r="93" spans="1:1">
      <c r="A93" t="s">
        <v>862</v>
      </c>
    </row>
    <row r="94" spans="1:1">
      <c r="A94" t="s">
        <v>863</v>
      </c>
    </row>
    <row r="95" spans="1:1">
      <c r="A95" t="s">
        <v>864</v>
      </c>
    </row>
    <row r="96" spans="1:1">
      <c r="A96" t="s">
        <v>787</v>
      </c>
    </row>
    <row r="97" spans="1:1">
      <c r="A97" t="s">
        <v>865</v>
      </c>
    </row>
    <row r="98" spans="1:1">
      <c r="A98" t="s">
        <v>866</v>
      </c>
    </row>
    <row r="99" spans="1:1">
      <c r="A99" t="s">
        <v>867</v>
      </c>
    </row>
    <row r="100" spans="1:1">
      <c r="A100" t="s">
        <v>868</v>
      </c>
    </row>
    <row r="101" spans="1:1">
      <c r="A101" t="s">
        <v>792</v>
      </c>
    </row>
  </sheetData>
  <phoneticPr fontId="23" type="noConversion"/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>
  <sheetPr codeName="Sheet8"/>
  <dimension ref="A1:K56"/>
  <sheetViews>
    <sheetView workbookViewId="0">
      <selection activeCell="K9" sqref="K9"/>
    </sheetView>
  </sheetViews>
  <sheetFormatPr defaultRowHeight="13.5"/>
  <cols>
    <col min="1" max="1" width="5.875" style="10" customWidth="1"/>
    <col min="2" max="3" width="9.375" style="10" customWidth="1"/>
    <col min="4" max="5" width="9.625" style="10" customWidth="1"/>
    <col min="6" max="6" width="11.875" style="10" customWidth="1"/>
    <col min="7" max="7" width="15.375" style="10" customWidth="1"/>
    <col min="8" max="9" width="15.5" style="10" customWidth="1"/>
    <col min="10" max="10" width="7.875" style="10" customWidth="1"/>
    <col min="11" max="16384" width="9" style="6"/>
  </cols>
  <sheetData>
    <row r="1" spans="1:11" ht="28.5">
      <c r="A1" s="12" t="s">
        <v>870</v>
      </c>
      <c r="B1" s="13" t="s">
        <v>871</v>
      </c>
      <c r="C1" s="13" t="s">
        <v>872</v>
      </c>
      <c r="D1" s="14" t="s">
        <v>873</v>
      </c>
      <c r="E1" s="14" t="s">
        <v>881</v>
      </c>
      <c r="F1" s="11" t="s">
        <v>882</v>
      </c>
      <c r="G1" s="11" t="s">
        <v>883</v>
      </c>
      <c r="H1" s="11"/>
      <c r="I1" s="11" t="s">
        <v>884</v>
      </c>
      <c r="J1" s="12" t="s">
        <v>870</v>
      </c>
      <c r="K1" s="6" t="s">
        <v>788</v>
      </c>
    </row>
    <row r="2" spans="1:11" ht="28.5">
      <c r="A2" s="12" t="s">
        <v>874</v>
      </c>
      <c r="B2" s="15" t="s">
        <v>885</v>
      </c>
      <c r="C2" s="15" t="s">
        <v>886</v>
      </c>
      <c r="D2" s="14" t="s">
        <v>887</v>
      </c>
      <c r="E2" s="14" t="s">
        <v>888</v>
      </c>
      <c r="F2" s="11" t="s">
        <v>889</v>
      </c>
      <c r="G2" s="11" t="s">
        <v>890</v>
      </c>
      <c r="H2" s="11"/>
      <c r="I2" s="11" t="s">
        <v>891</v>
      </c>
      <c r="J2" s="12" t="s">
        <v>874</v>
      </c>
      <c r="K2" s="6" t="s">
        <v>789</v>
      </c>
    </row>
    <row r="3" spans="1:11" ht="28.5">
      <c r="A3" s="12" t="s">
        <v>875</v>
      </c>
      <c r="B3" s="15" t="s">
        <v>892</v>
      </c>
      <c r="C3" s="13" t="s">
        <v>893</v>
      </c>
      <c r="D3" s="14" t="s">
        <v>894</v>
      </c>
      <c r="E3" s="14" t="s">
        <v>895</v>
      </c>
      <c r="F3" s="11" t="s">
        <v>896</v>
      </c>
      <c r="G3" s="11"/>
      <c r="H3" s="11" t="s">
        <v>897</v>
      </c>
      <c r="I3" s="11" t="s">
        <v>898</v>
      </c>
      <c r="J3" s="12" t="s">
        <v>875</v>
      </c>
      <c r="K3" s="6" t="s">
        <v>790</v>
      </c>
    </row>
    <row r="4" spans="1:11" ht="28.5">
      <c r="A4" s="12" t="s">
        <v>876</v>
      </c>
      <c r="B4" s="15" t="s">
        <v>899</v>
      </c>
      <c r="C4" s="13" t="s">
        <v>900</v>
      </c>
      <c r="D4" s="14" t="s">
        <v>901</v>
      </c>
      <c r="E4" s="14" t="s">
        <v>902</v>
      </c>
      <c r="F4" s="11" t="s">
        <v>903</v>
      </c>
      <c r="G4" s="11" t="s">
        <v>904</v>
      </c>
      <c r="H4" s="11"/>
      <c r="I4" s="11" t="s">
        <v>905</v>
      </c>
      <c r="J4" s="12" t="s">
        <v>876</v>
      </c>
      <c r="K4" s="6" t="s">
        <v>791</v>
      </c>
    </row>
    <row r="5" spans="1:11" ht="28.5">
      <c r="A5" s="12" t="s">
        <v>877</v>
      </c>
      <c r="B5" s="13" t="s">
        <v>906</v>
      </c>
      <c r="C5" s="13" t="s">
        <v>907</v>
      </c>
      <c r="D5" s="14" t="s">
        <v>908</v>
      </c>
      <c r="E5" s="14" t="s">
        <v>909</v>
      </c>
      <c r="F5" s="11" t="s">
        <v>910</v>
      </c>
      <c r="G5" s="11" t="s">
        <v>911</v>
      </c>
      <c r="H5" s="11"/>
      <c r="I5" s="11" t="s">
        <v>912</v>
      </c>
      <c r="J5" s="12" t="s">
        <v>877</v>
      </c>
      <c r="K5" s="6" t="s">
        <v>793</v>
      </c>
    </row>
    <row r="6" spans="1:11" ht="15.75">
      <c r="A6" s="12" t="s">
        <v>878</v>
      </c>
      <c r="B6" s="15" t="s">
        <v>913</v>
      </c>
      <c r="C6" s="15" t="s">
        <v>914</v>
      </c>
      <c r="D6" s="14" t="s">
        <v>895</v>
      </c>
      <c r="E6" s="14" t="s">
        <v>915</v>
      </c>
      <c r="F6" s="11" t="s">
        <v>916</v>
      </c>
      <c r="G6" s="11"/>
      <c r="H6" s="11"/>
      <c r="I6" s="11" t="s">
        <v>917</v>
      </c>
      <c r="J6" s="12" t="s">
        <v>878</v>
      </c>
      <c r="K6" s="6" t="s">
        <v>794</v>
      </c>
    </row>
    <row r="7" spans="1:11" ht="28.5">
      <c r="A7" s="12" t="s">
        <v>918</v>
      </c>
      <c r="B7" s="13" t="s">
        <v>919</v>
      </c>
      <c r="C7" s="15" t="s">
        <v>920</v>
      </c>
      <c r="D7" s="14" t="s">
        <v>921</v>
      </c>
      <c r="E7" s="14" t="s">
        <v>922</v>
      </c>
      <c r="F7" s="11" t="s">
        <v>923</v>
      </c>
      <c r="G7" s="11" t="s">
        <v>924</v>
      </c>
      <c r="H7" s="11"/>
      <c r="I7" s="11" t="s">
        <v>925</v>
      </c>
      <c r="J7" s="12" t="s">
        <v>918</v>
      </c>
      <c r="K7" s="6" t="s">
        <v>795</v>
      </c>
    </row>
    <row r="8" spans="1:11" ht="28.5">
      <c r="A8" s="16" t="s">
        <v>926</v>
      </c>
      <c r="B8" s="15" t="s">
        <v>927</v>
      </c>
      <c r="C8" s="13" t="s">
        <v>928</v>
      </c>
      <c r="D8" s="14" t="s">
        <v>929</v>
      </c>
      <c r="E8" s="14" t="s">
        <v>888</v>
      </c>
      <c r="F8" s="11" t="s">
        <v>930</v>
      </c>
      <c r="G8" s="11" t="s">
        <v>879</v>
      </c>
      <c r="H8" s="11"/>
      <c r="I8" s="11" t="s">
        <v>931</v>
      </c>
      <c r="J8" s="16" t="s">
        <v>926</v>
      </c>
      <c r="K8" s="6" t="s">
        <v>796</v>
      </c>
    </row>
    <row r="9" spans="1:11" ht="28.5">
      <c r="A9" s="12" t="s">
        <v>880</v>
      </c>
      <c r="B9" s="15" t="s">
        <v>932</v>
      </c>
      <c r="C9" s="13" t="s">
        <v>933</v>
      </c>
      <c r="D9" s="14" t="s">
        <v>934</v>
      </c>
      <c r="E9" s="14" t="s">
        <v>909</v>
      </c>
      <c r="F9" s="11" t="s">
        <v>935</v>
      </c>
      <c r="G9" s="11"/>
      <c r="H9" s="11" t="s">
        <v>936</v>
      </c>
      <c r="I9" s="11"/>
      <c r="J9" s="12" t="s">
        <v>880</v>
      </c>
      <c r="K9" s="6" t="s">
        <v>798</v>
      </c>
    </row>
    <row r="10" spans="1:11" ht="28.5">
      <c r="A10" s="12" t="s">
        <v>937</v>
      </c>
      <c r="B10" s="13" t="s">
        <v>938</v>
      </c>
      <c r="C10" s="13" t="s">
        <v>939</v>
      </c>
      <c r="D10" s="14" t="s">
        <v>873</v>
      </c>
      <c r="E10" s="14" t="s">
        <v>940</v>
      </c>
      <c r="F10" s="11" t="s">
        <v>882</v>
      </c>
      <c r="G10" s="11" t="s">
        <v>941</v>
      </c>
      <c r="H10" s="11"/>
      <c r="I10" s="11" t="s">
        <v>942</v>
      </c>
      <c r="J10" s="12" t="s">
        <v>937</v>
      </c>
      <c r="K10" s="6" t="s">
        <v>799</v>
      </c>
    </row>
    <row r="11" spans="1:11" ht="15.75">
      <c r="A11" s="12" t="s">
        <v>943</v>
      </c>
      <c r="B11" s="13" t="s">
        <v>944</v>
      </c>
      <c r="C11" s="13" t="s">
        <v>945</v>
      </c>
      <c r="D11" s="14" t="s">
        <v>934</v>
      </c>
      <c r="E11" s="14" t="s">
        <v>915</v>
      </c>
      <c r="F11" s="11" t="s">
        <v>946</v>
      </c>
      <c r="G11" s="11"/>
      <c r="H11" s="11"/>
      <c r="I11" s="11" t="s">
        <v>947</v>
      </c>
      <c r="J11" s="12" t="s">
        <v>943</v>
      </c>
      <c r="K11" s="6" t="s">
        <v>800</v>
      </c>
    </row>
    <row r="12" spans="1:11" ht="40.5">
      <c r="A12" s="12" t="s">
        <v>948</v>
      </c>
      <c r="B12" s="15" t="s">
        <v>949</v>
      </c>
      <c r="C12" s="13" t="s">
        <v>950</v>
      </c>
      <c r="D12" s="14" t="s">
        <v>951</v>
      </c>
      <c r="E12" s="14" t="s">
        <v>952</v>
      </c>
      <c r="F12" s="11" t="s">
        <v>953</v>
      </c>
      <c r="G12" s="11" t="s">
        <v>954</v>
      </c>
      <c r="H12" s="11"/>
      <c r="I12" s="11"/>
      <c r="J12" s="12" t="s">
        <v>948</v>
      </c>
    </row>
    <row r="13" spans="1:11" ht="15.75">
      <c r="A13" s="12" t="s">
        <v>955</v>
      </c>
      <c r="B13" s="13" t="s">
        <v>956</v>
      </c>
      <c r="C13" s="13" t="s">
        <v>957</v>
      </c>
      <c r="D13" s="14" t="s">
        <v>958</v>
      </c>
      <c r="E13" s="14" t="s">
        <v>959</v>
      </c>
      <c r="F13" s="11" t="s">
        <v>960</v>
      </c>
      <c r="G13" s="11"/>
      <c r="H13" s="11"/>
      <c r="I13" s="11"/>
      <c r="J13" s="12" t="s">
        <v>955</v>
      </c>
    </row>
    <row r="14" spans="1:11" ht="28.5">
      <c r="A14" s="12" t="s">
        <v>961</v>
      </c>
      <c r="B14" s="13" t="s">
        <v>962</v>
      </c>
      <c r="C14" s="13" t="s">
        <v>963</v>
      </c>
      <c r="D14" s="14" t="s">
        <v>964</v>
      </c>
      <c r="E14" s="14" t="s">
        <v>965</v>
      </c>
      <c r="F14" s="11" t="s">
        <v>966</v>
      </c>
      <c r="G14" s="11" t="s">
        <v>967</v>
      </c>
      <c r="H14" s="11"/>
      <c r="I14" s="17"/>
      <c r="J14" s="12" t="s">
        <v>961</v>
      </c>
    </row>
    <row r="15" spans="1:11" ht="28.5">
      <c r="A15" s="12" t="s">
        <v>968</v>
      </c>
      <c r="B15" s="13" t="s">
        <v>969</v>
      </c>
      <c r="C15" s="13" t="s">
        <v>970</v>
      </c>
      <c r="D15" s="14" t="s">
        <v>958</v>
      </c>
      <c r="E15" s="14" t="s">
        <v>971</v>
      </c>
      <c r="F15" s="11" t="s">
        <v>972</v>
      </c>
      <c r="G15" s="11" t="s">
        <v>973</v>
      </c>
      <c r="H15" s="11"/>
      <c r="I15" s="11"/>
      <c r="J15" s="12" t="s">
        <v>968</v>
      </c>
    </row>
    <row r="16" spans="1:11" ht="28.5">
      <c r="A16" s="12" t="s">
        <v>974</v>
      </c>
      <c r="B16" s="13" t="s">
        <v>975</v>
      </c>
      <c r="C16" s="13" t="s">
        <v>976</v>
      </c>
      <c r="D16" s="14" t="s">
        <v>977</v>
      </c>
      <c r="E16" s="14" t="s">
        <v>978</v>
      </c>
      <c r="F16" s="11" t="s">
        <v>923</v>
      </c>
      <c r="G16" s="11" t="s">
        <v>979</v>
      </c>
      <c r="H16" s="11"/>
      <c r="I16" s="11"/>
      <c r="J16" s="12" t="s">
        <v>974</v>
      </c>
      <c r="K16" s="9"/>
    </row>
    <row r="17" spans="1:10" ht="27">
      <c r="A17" s="12" t="s">
        <v>980</v>
      </c>
      <c r="B17" s="13" t="s">
        <v>981</v>
      </c>
      <c r="C17" s="13" t="s">
        <v>982</v>
      </c>
      <c r="D17" s="14" t="s">
        <v>983</v>
      </c>
      <c r="E17" s="14" t="s">
        <v>984</v>
      </c>
      <c r="F17" s="11" t="s">
        <v>985</v>
      </c>
      <c r="G17" s="11"/>
      <c r="H17" s="11"/>
      <c r="I17" s="11"/>
      <c r="J17" s="12" t="s">
        <v>980</v>
      </c>
    </row>
    <row r="18" spans="1:10">
      <c r="A18" s="18"/>
      <c r="B18" s="6" t="s">
        <v>801</v>
      </c>
      <c r="D18" s="6" t="s">
        <v>812</v>
      </c>
      <c r="F18" s="9" t="s">
        <v>823</v>
      </c>
      <c r="H18" s="6" t="s">
        <v>836</v>
      </c>
    </row>
    <row r="19" spans="1:10">
      <c r="B19" s="6" t="s">
        <v>802</v>
      </c>
      <c r="D19" s="6" t="s">
        <v>813</v>
      </c>
      <c r="F19" s="9" t="s">
        <v>824</v>
      </c>
      <c r="H19" s="6" t="s">
        <v>837</v>
      </c>
    </row>
    <row r="20" spans="1:10">
      <c r="B20" s="6" t="s">
        <v>803</v>
      </c>
      <c r="D20" s="6" t="s">
        <v>814</v>
      </c>
      <c r="F20" s="9" t="s">
        <v>825</v>
      </c>
      <c r="H20" s="6" t="s">
        <v>838</v>
      </c>
    </row>
    <row r="21" spans="1:10">
      <c r="B21" s="6" t="s">
        <v>804</v>
      </c>
      <c r="D21" s="6" t="s">
        <v>815</v>
      </c>
      <c r="F21" s="9" t="s">
        <v>826</v>
      </c>
      <c r="H21" s="6" t="s">
        <v>839</v>
      </c>
    </row>
    <row r="22" spans="1:10">
      <c r="B22" s="6" t="s">
        <v>805</v>
      </c>
      <c r="D22" s="6" t="s">
        <v>816</v>
      </c>
      <c r="F22" s="9" t="s">
        <v>831</v>
      </c>
      <c r="H22" s="6" t="s">
        <v>840</v>
      </c>
    </row>
    <row r="23" spans="1:10">
      <c r="B23" s="6" t="s">
        <v>806</v>
      </c>
      <c r="D23" s="6" t="s">
        <v>817</v>
      </c>
      <c r="F23" s="9" t="s">
        <v>832</v>
      </c>
      <c r="H23" s="6" t="s">
        <v>841</v>
      </c>
    </row>
    <row r="24" spans="1:10">
      <c r="B24" s="6" t="s">
        <v>807</v>
      </c>
      <c r="D24" s="6" t="s">
        <v>818</v>
      </c>
      <c r="F24" s="9" t="s">
        <v>833</v>
      </c>
      <c r="H24" s="6" t="s">
        <v>842</v>
      </c>
    </row>
    <row r="25" spans="1:10">
      <c r="B25" s="6" t="s">
        <v>808</v>
      </c>
      <c r="D25" s="6" t="s">
        <v>819</v>
      </c>
      <c r="F25" s="9" t="s">
        <v>834</v>
      </c>
      <c r="H25" s="6" t="s">
        <v>843</v>
      </c>
    </row>
    <row r="26" spans="1:10">
      <c r="B26" s="6" t="s">
        <v>809</v>
      </c>
      <c r="D26" s="6" t="s">
        <v>820</v>
      </c>
      <c r="H26" s="6" t="s">
        <v>844</v>
      </c>
    </row>
    <row r="27" spans="1:10">
      <c r="B27" s="6" t="s">
        <v>810</v>
      </c>
      <c r="D27" s="6" t="s">
        <v>821</v>
      </c>
      <c r="H27" s="6" t="s">
        <v>845</v>
      </c>
    </row>
    <row r="28" spans="1:10">
      <c r="B28" s="6" t="s">
        <v>811</v>
      </c>
      <c r="D28" s="6" t="s">
        <v>822</v>
      </c>
      <c r="H28" s="6" t="s">
        <v>846</v>
      </c>
    </row>
    <row r="29" spans="1:10">
      <c r="H29" s="6"/>
    </row>
    <row r="30" spans="1:10">
      <c r="B30" s="6" t="s">
        <v>847</v>
      </c>
      <c r="D30" s="6" t="s">
        <v>854</v>
      </c>
      <c r="F30" s="6" t="s">
        <v>787</v>
      </c>
      <c r="H30" s="6"/>
    </row>
    <row r="31" spans="1:10">
      <c r="B31" s="6" t="s">
        <v>848</v>
      </c>
      <c r="D31" s="6" t="s">
        <v>855</v>
      </c>
      <c r="F31" s="6" t="s">
        <v>865</v>
      </c>
    </row>
    <row r="32" spans="1:10">
      <c r="B32" s="6" t="s">
        <v>849</v>
      </c>
      <c r="D32" s="6" t="s">
        <v>856</v>
      </c>
      <c r="F32" s="6" t="s">
        <v>866</v>
      </c>
    </row>
    <row r="33" spans="2:8">
      <c r="B33" s="6" t="s">
        <v>850</v>
      </c>
      <c r="D33" s="6" t="s">
        <v>857</v>
      </c>
      <c r="F33" s="6" t="s">
        <v>867</v>
      </c>
    </row>
    <row r="34" spans="2:8">
      <c r="B34" s="6" t="s">
        <v>851</v>
      </c>
      <c r="D34" s="6" t="s">
        <v>858</v>
      </c>
      <c r="F34" s="6" t="s">
        <v>868</v>
      </c>
    </row>
    <row r="35" spans="2:8">
      <c r="B35" s="6" t="s">
        <v>852</v>
      </c>
      <c r="D35" s="6" t="s">
        <v>859</v>
      </c>
      <c r="F35" s="6" t="s">
        <v>792</v>
      </c>
    </row>
    <row r="36" spans="2:8">
      <c r="B36" s="6" t="s">
        <v>853</v>
      </c>
      <c r="D36" s="6" t="s">
        <v>860</v>
      </c>
    </row>
    <row r="37" spans="2:8">
      <c r="B37" s="6" t="s">
        <v>787</v>
      </c>
      <c r="D37" s="6" t="s">
        <v>861</v>
      </c>
    </row>
    <row r="38" spans="2:8">
      <c r="D38" s="6" t="s">
        <v>862</v>
      </c>
    </row>
    <row r="39" spans="2:8">
      <c r="D39" s="6" t="s">
        <v>863</v>
      </c>
      <c r="H39" s="6"/>
    </row>
    <row r="40" spans="2:8">
      <c r="D40" s="6" t="s">
        <v>864</v>
      </c>
      <c r="H40" s="6"/>
    </row>
    <row r="42" spans="2:8">
      <c r="B42" s="6" t="s">
        <v>827</v>
      </c>
    </row>
    <row r="43" spans="2:8">
      <c r="B43" s="6" t="s">
        <v>828</v>
      </c>
    </row>
    <row r="44" spans="2:8">
      <c r="B44" s="6" t="s">
        <v>829</v>
      </c>
    </row>
    <row r="45" spans="2:8">
      <c r="B45" s="6" t="s">
        <v>830</v>
      </c>
    </row>
    <row r="56" spans="11:11">
      <c r="K56" s="9"/>
    </row>
  </sheetData>
  <phoneticPr fontId="23" type="noConversion"/>
  <conditionalFormatting sqref="F1:F17">
    <cfRule type="expression" dxfId="3" priority="1">
      <formula>AND(RIGHT(F1,LEN(F1)-2)&lt;&gt;$D1,RIGHT(F1,LEN(F1)-2)&lt;&gt;$E1)</formula>
    </cfRule>
  </conditionalFormatting>
  <conditionalFormatting sqref="D1:E17">
    <cfRule type="expression" dxfId="2" priority="2" stopIfTrue="1">
      <formula>LEFT(D1,2)=LEFT($F1,2)</formula>
    </cfRule>
    <cfRule type="expression" dxfId="1" priority="3" stopIfTrue="1">
      <formula>LEFT(D1,2)=IF(MID($F1,2,1)="泊",MID($F1,3,2),IF(RIGHT($F1)="货",LEFT($F1,2),""))</formula>
    </cfRule>
    <cfRule type="expression" dxfId="0" priority="4" stopIfTrue="1">
      <formula>MID(D1,FIND("+",D1,3)+1,2)=IF(MID($F1,2,1)="泊",MID($F1,3,2),IF(RIGHT($F1)="货",LEFT($F1,2),""))</formula>
    </cfRule>
  </conditionalFormatting>
  <dataValidations count="1">
    <dataValidation imeMode="on" allowBlank="1" showInputMessage="1" showErrorMessage="1" sqref="A1:A19 H1:H17 I1:J19 G1:G19 F1:F17 E1:E19 C1:C19 B1:B17 D1:D17"/>
  </dataValidations>
  <pageMargins left="0.7" right="0.7" top="0.75" bottom="0.75" header="0.3" footer="0.3"/>
  <legacyDrawing r:id="rId1"/>
</worksheet>
</file>

<file path=xl/worksheets/sheet14.xml><?xml version="1.0" encoding="utf-8"?>
<worksheet xmlns="http://schemas.openxmlformats.org/spreadsheetml/2006/main" xmlns:r="http://schemas.openxmlformats.org/officeDocument/2006/relationships">
  <sheetPr codeName="Sheet14"/>
  <dimension ref="A1:G1157"/>
  <sheetViews>
    <sheetView workbookViewId="0">
      <selection activeCell="C6" sqref="C6"/>
    </sheetView>
  </sheetViews>
  <sheetFormatPr defaultRowHeight="13.5"/>
  <cols>
    <col min="1" max="4" width="18.375" bestFit="1" customWidth="1"/>
  </cols>
  <sheetData>
    <row r="1" spans="1:7">
      <c r="A1" s="37" t="s">
        <v>1019</v>
      </c>
      <c r="B1" s="37" t="s">
        <v>1016</v>
      </c>
      <c r="C1" s="37" t="s">
        <v>1017</v>
      </c>
      <c r="D1" s="37" t="s">
        <v>1018</v>
      </c>
      <c r="E1" s="37"/>
      <c r="F1" s="37"/>
      <c r="G1" s="37"/>
    </row>
    <row r="2" spans="1:7">
      <c r="A2" s="39">
        <v>43196.857638888891</v>
      </c>
      <c r="B2" s="39">
        <v>43197.003472222219</v>
      </c>
      <c r="C2" s="39">
        <v>43197.409722222219</v>
      </c>
      <c r="D2" s="39">
        <v>43197.493055555555</v>
      </c>
      <c r="E2" s="37"/>
      <c r="F2" s="37"/>
      <c r="G2" s="37"/>
    </row>
    <row r="3" spans="1:7">
      <c r="A3" s="37"/>
      <c r="B3" s="37"/>
      <c r="C3" s="37"/>
      <c r="D3" s="37"/>
      <c r="E3" s="37"/>
      <c r="F3" s="37"/>
      <c r="G3" s="37"/>
    </row>
    <row r="4" spans="1:7">
      <c r="A4" s="37"/>
      <c r="B4" s="37"/>
      <c r="C4" s="37"/>
      <c r="D4" s="37"/>
      <c r="E4" s="37"/>
      <c r="F4" s="37"/>
      <c r="G4" s="37"/>
    </row>
    <row r="5" spans="1:7">
      <c r="A5" s="37"/>
      <c r="B5" s="37"/>
      <c r="C5" s="37"/>
      <c r="D5" s="37"/>
      <c r="E5" s="37"/>
      <c r="F5" s="37"/>
      <c r="G5" s="37"/>
    </row>
    <row r="6" spans="1:7">
      <c r="A6" s="37" t="s">
        <v>1020</v>
      </c>
      <c r="B6" s="37">
        <v>1067.925</v>
      </c>
      <c r="C6" s="37" t="s">
        <v>1023</v>
      </c>
      <c r="D6" s="41">
        <f>ROUND(B6/$B$8,1)</f>
        <v>109.5</v>
      </c>
      <c r="E6" s="37"/>
      <c r="F6" s="38" t="s">
        <v>1024</v>
      </c>
      <c r="G6" s="41">
        <f>(B2-A2)*24</f>
        <v>3.4999999998835847</v>
      </c>
    </row>
    <row r="7" spans="1:7">
      <c r="A7" s="37" t="s">
        <v>1021</v>
      </c>
      <c r="B7" s="37">
        <v>1010.045</v>
      </c>
      <c r="C7" s="37" t="s">
        <v>1014</v>
      </c>
      <c r="D7" s="41">
        <f>ROUND(B7/$B$8,1)</f>
        <v>103.6</v>
      </c>
      <c r="E7" s="37"/>
      <c r="F7" s="38" t="s">
        <v>1025</v>
      </c>
      <c r="G7" s="41">
        <f>(D2-C2)*24</f>
        <v>2.0000000000582077</v>
      </c>
    </row>
    <row r="8" spans="1:7">
      <c r="A8" s="37" t="s">
        <v>1022</v>
      </c>
      <c r="B8" s="41">
        <f>ROUND((C2-B2)*24,2)</f>
        <v>9.75</v>
      </c>
      <c r="C8" s="37"/>
      <c r="D8" s="37"/>
      <c r="E8" s="37"/>
      <c r="F8" s="38" t="s">
        <v>1026</v>
      </c>
      <c r="G8" s="41">
        <f>(B2-A2)*24</f>
        <v>3.4999999998835847</v>
      </c>
    </row>
    <row r="9" spans="1:7">
      <c r="A9" s="37"/>
      <c r="B9" s="41" t="str">
        <f>B6&amp;"M3"&amp;"/"&amp;B8&amp;"H="&amp;D6&amp;"M3/H"&amp;"
"&amp;B10</f>
        <v>1067.925M3/9.75H=109.5M3/H
1010.045MT/9.75H=103.6MT/H</v>
      </c>
      <c r="C9" s="37"/>
      <c r="D9" s="37"/>
      <c r="E9" s="37"/>
      <c r="F9" s="38" t="s">
        <v>1027</v>
      </c>
      <c r="G9" s="41">
        <f>(D2-C2)*24</f>
        <v>2.0000000000582077</v>
      </c>
    </row>
    <row r="10" spans="1:7">
      <c r="A10" s="37"/>
      <c r="B10" s="41" t="str">
        <f>B7&amp;"MT"&amp;"/"&amp;B8&amp;"H="&amp;D7&amp;"MT/H"</f>
        <v>1010.045MT/9.75H=103.6MT/H</v>
      </c>
      <c r="C10" s="37"/>
      <c r="D10" s="37"/>
      <c r="E10" s="37"/>
      <c r="F10" s="37"/>
      <c r="G10" s="37"/>
    </row>
    <row r="1157" spans="4:4">
      <c r="D1157">
        <v>3</v>
      </c>
    </row>
  </sheetData>
  <phoneticPr fontId="23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14</vt:i4>
      </vt:variant>
    </vt:vector>
  </HeadingPairs>
  <TitlesOfParts>
    <vt:vector size="14" baseType="lpstr">
      <vt:lpstr>佣金</vt:lpstr>
      <vt:lpstr>港使费</vt:lpstr>
      <vt:lpstr>港口码头对应表</vt:lpstr>
      <vt:lpstr>Sheet2</vt:lpstr>
      <vt:lpstr>船位数据</vt:lpstr>
      <vt:lpstr>Sheet1</vt:lpstr>
      <vt:lpstr>ps用txt</vt:lpstr>
      <vt:lpstr>研究航次报表的时间列</vt:lpstr>
      <vt:lpstr>Sheet3</vt:lpstr>
      <vt:lpstr>Sheet4</vt:lpstr>
      <vt:lpstr>主机转速</vt:lpstr>
      <vt:lpstr>大家庭动态信息源</vt:lpstr>
      <vt:lpstr>Sheet7</vt:lpstr>
      <vt:lpstr>Sheet5</vt:lpstr>
    </vt:vector>
  </TitlesOfParts>
  <Company>Microsoft</Company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cyh</dc:creator>
  <cp:lastModifiedBy>Cao Yanhai</cp:lastModifiedBy>
  <cp:lastPrinted>2018-02-07T08:10:46Z</cp:lastPrinted>
  <dcterms:created xsi:type="dcterms:W3CDTF">2017-02-07T01:51:58Z</dcterms:created>
  <dcterms:modified xsi:type="dcterms:W3CDTF">2018-05-15T09:19:27Z</dcterms:modified>
</cp:coreProperties>
</file>